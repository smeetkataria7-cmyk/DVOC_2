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0E5F8CD2-C892-40CB-9364-2A6166B21697}" xr6:coauthVersionLast="36" xr6:coauthVersionMax="47" xr10:uidLastSave="{00000000-0000-0000-0000-000000000000}"/>
  <bookViews>
    <workbookView xWindow="0" yWindow="0" windowWidth="28800" windowHeight="12225" activeTab="2" xr2:uid="{00000000-000D-0000-FFFF-FFFF00000000}"/>
  </bookViews>
  <sheets>
    <sheet name="Sheet1" sheetId="1" r:id="rId1"/>
    <sheet name="Sheet3" sheetId="3" r:id="rId2"/>
    <sheet name="Complete_List" sheetId="4" r:id="rId3"/>
    <sheet name="Sheet2" sheetId="2"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40" i="4" l="1"/>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5" i="4"/>
  <c r="M6" i="4" l="1"/>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5" i="4"/>
  <c r="F29" i="1" l="1"/>
  <c r="H29" i="1"/>
  <c r="G29" i="1"/>
</calcChain>
</file>

<file path=xl/sharedStrings.xml><?xml version="1.0" encoding="utf-8"?>
<sst xmlns="http://schemas.openxmlformats.org/spreadsheetml/2006/main" count="629" uniqueCount="142">
  <si>
    <t>Professional Program in FinTech &amp; Business Analytics</t>
  </si>
  <si>
    <t>Professional Program in Digital Marketing</t>
  </si>
  <si>
    <t>Professional Program in Data Analytics</t>
  </si>
  <si>
    <t>Advanced Program in FinTech &amp; Business Analytics</t>
  </si>
  <si>
    <t>Advanced Program in Full Stack Software Development</t>
  </si>
  <si>
    <t>Java Programming</t>
  </si>
  <si>
    <t>Python Programming</t>
  </si>
  <si>
    <t>Database Management using SQL</t>
  </si>
  <si>
    <t>HTML5</t>
  </si>
  <si>
    <t>Advanced Excel</t>
  </si>
  <si>
    <t>Graphic Designing</t>
  </si>
  <si>
    <t>Power BI</t>
  </si>
  <si>
    <t>Tableau</t>
  </si>
  <si>
    <t>Tally Essentials 1</t>
  </si>
  <si>
    <t>Tally Essentials 2</t>
  </si>
  <si>
    <t>Tally Essentials 3</t>
  </si>
  <si>
    <t xml:space="preserve"> Social Media Marketing</t>
  </si>
  <si>
    <t>SEO</t>
  </si>
  <si>
    <t>SEM</t>
  </si>
  <si>
    <t>Ms Office</t>
  </si>
  <si>
    <t>R-Programming</t>
  </si>
  <si>
    <t>Data Analytics with Python</t>
  </si>
  <si>
    <t>CareerEdge</t>
  </si>
  <si>
    <t>Foundation in IT</t>
  </si>
  <si>
    <t>C++ Programming</t>
  </si>
  <si>
    <t>IT-ITeS</t>
  </si>
  <si>
    <t>BFSI</t>
  </si>
  <si>
    <t>Placement Linked/Upskilling</t>
  </si>
  <si>
    <t>Placement Linked</t>
  </si>
  <si>
    <t>Upskilling</t>
  </si>
  <si>
    <t>Course Description: </t>
  </si>
  <si>
    <r>
      <t>Number of Hours per day </t>
    </r>
    <r>
      <rPr>
        <sz val="11"/>
        <color rgb="FFFF0000"/>
        <rFont val="Var(--primary-font)"/>
      </rPr>
      <t>*</t>
    </r>
  </si>
  <si>
    <r>
      <t>Minimum Education Required: </t>
    </r>
    <r>
      <rPr>
        <sz val="11"/>
        <color rgb="FFFF0000"/>
        <rFont val="Var(--primary-font)"/>
      </rPr>
      <t>*</t>
    </r>
  </si>
  <si>
    <r>
      <t>Job Role Mapping Type: </t>
    </r>
    <r>
      <rPr>
        <sz val="11"/>
        <color rgb="FFFF0000"/>
        <rFont val="Var(--primary-font)"/>
      </rPr>
      <t>*</t>
    </r>
  </si>
  <si>
    <r>
      <t>Associated QP/Job Role Name: </t>
    </r>
    <r>
      <rPr>
        <sz val="11"/>
        <color rgb="FFFF0000"/>
        <rFont val="Var(--primary-font)"/>
      </rPr>
      <t>*</t>
    </r>
  </si>
  <si>
    <r>
      <t>Course Name: </t>
    </r>
    <r>
      <rPr>
        <sz val="11"/>
        <color rgb="FFFF0000"/>
        <rFont val="Var(--primary-font)"/>
      </rPr>
      <t>*</t>
    </r>
  </si>
  <si>
    <r>
      <t>Minimum Age: </t>
    </r>
    <r>
      <rPr>
        <sz val="11"/>
        <color rgb="FFFF0000"/>
        <rFont val="Var(--primary-font)"/>
      </rPr>
      <t>*</t>
    </r>
  </si>
  <si>
    <r>
      <t>Course Duration(In Hours) </t>
    </r>
    <r>
      <rPr>
        <sz val="11"/>
        <color rgb="FFFF0000"/>
        <rFont val="Var(--primary-font)"/>
      </rPr>
      <t>*</t>
    </r>
  </si>
  <si>
    <t>Non-QP/NOS Aligned</t>
  </si>
  <si>
    <t>Qp-Nos Not Matching</t>
  </si>
  <si>
    <t>Not Applicable</t>
  </si>
  <si>
    <t>Grade</t>
  </si>
  <si>
    <t xml:space="preserve">Microsoft Office is a collection of extremely valuable applications for office task and improves work productivity.  Our Working with Microsoft Office course covers a combination of basic concepts and handson learning on MS- Word, MS-Excel, MS-PowerPoint and MS-Outlook. You will gain expertise in creating documents, spreadsheets and presentation using Microsoft Office applications .You will also go through multiple practice exercises.  </t>
  </si>
  <si>
    <t xml:space="preserve">Microsoft Excel is extremely valuable for businesses, which use Excel features to record expenditures and income, plan budgets, and chart data. Our Working With Advanced Excel course covers a combination of business concepts and hands-on learning on MS- Excel. You will gain expertise in analysis and presentation of complex data using Excel and understanding business process automation .You will also go through multiple case study based practice exercises. </t>
  </si>
  <si>
    <t xml:space="preserve">Our Web Designing using HTML5 course is a standard web designing course designed for aspiring web developers looking for the right path to learning web designing. The certificate in web designing using HTML5 will equip you with the latest web designing standards and practices, which will make you an efficient web designer. You can learn the ins and outs of basic HTML directly from the source with this front-end developer course. Upon completing this course, you will be all set to start your web designing career by designing amazing web pages. </t>
  </si>
  <si>
    <t>It provides step-by-step instructions including Download and Installation, Company Creation, Maintaining Chart of Accounts, Recording Business Transactions, Generation of Financial Reports, Banking Solutions, Goods and Services Tax (GST) and Securing Business Data.</t>
  </si>
  <si>
    <t>It provides step-by-step instructions from Storage and Classiﬁcation, Accounts Payable and Receivable, Order Processing, Budgets, Goods and Services Tax (GST) and Scenario Managements.</t>
  </si>
  <si>
    <t>It provides step-by-step instructions of GST, TDS, Export, Import and Splitting Company Data</t>
  </si>
  <si>
    <t xml:space="preserve">Our Course on Social Media Marketing will make you understand everything related to marketing. You will learn about digital marketing and how brands use the power of social media marketing to drive more sales and conversions for their business. You will learn to develop engaging and effective social media strategies for businesses. You will learn the importance of every social media platform along with case studies on how to use platforms like Facebook, Twitter, Instagram &amp; LinkedIn for transforming a business online. </t>
  </si>
  <si>
    <t xml:space="preserve">Our Course on SEO  will make you learn how to evaluate and improve your websites SEO. You will learn to build backlinks to your website at scale to increase your website the visibility on the search engine results page.  </t>
  </si>
  <si>
    <t xml:space="preserve">Our Course on  SEM will make you learn how to use paid advertising methods to get search engine traffic.  </t>
  </si>
  <si>
    <t xml:space="preserve">Python is one of the very popular languages which is used for creating high performance applications.  Our Python Programming course is all set to hone your programming skills. With our course, you will learn the basics of Python programming with the small programs, moving on to the conditional statements, loops, and functions in Python. You will be learning every concept of Python programming. By the time, you will complete the course you will be an intermediate level Python Programmer. </t>
  </si>
  <si>
    <t xml:space="preserve">C++ is one of the very popular cross-platform languages which is used for creating highperformance applications.  Our Programming Using C++ course is all set to hone your C++ skills. With our course, You will learn the basics of C++ programming with the Hello World programs, moving on to the OOPS concepts, conditional statements, loops, and functions in C++.You will be learning every concept of C++ programming. By the time, you will complete the course you will be an intermediate level C++ developer. </t>
  </si>
  <si>
    <t xml:space="preserve">Python is used for web development, AI, machine learning, operating systems, mobile application development, and video games. Our Programming with Python course includes in-depth modules that will guide you step-by-step to learn everything about Python Programming. With this beginner-friendly programming course, you will go from a complete beginner to learn all the advanced concepts with a solid understanding of Python programming language. You will come across multiple exercises after every module to make sure you are implementing your learning. Upon completion of this course, you will have a clear and solid understanding of Python Programming language. </t>
  </si>
  <si>
    <t xml:space="preserve">Our step-by-step Programming in Java course will guide you to become a complete java developer. You will learn about every programming concept in Java, starting from syntax and data-types to working with streams and classes. The course will cover everything in detail to make your fundamentals strong. Our course will guide you on creating platform-independent and interactive CUI and GUI-based applications. </t>
  </si>
  <si>
    <t>This programme is a dual qualification 7-term plan designed for students with little or no prior knowledge of fintech and business analytics.It covers the essential aspects of financial technologies along with training in data analysis and business analysis tools.</t>
  </si>
  <si>
    <t>Our Foundation in Information Technology course will offer you all-round practical training in this space.You will gain proficiency in information systems, programming languages and syntaxes to build webpages, forms and templates.</t>
  </si>
  <si>
    <t>Career-Edge is a multi-disciplinary course that is designed keeping in mind today’s digital age. It offers students all-round practical training in the hottest and trending topics within the space of education.This course offers you the opportunity to gain fundamental knowledge in as many as 4 disciplines, enabling you to decide your stream of interest</t>
  </si>
  <si>
    <t>A career in analytics, accounting, banking, financial services or related sectors of the economy requires a high level of understanding of both the theory and practice of analysis, accounting, banking and finance. This course is designed to give you a broad-based understanding of the core and advanced subject areas. The program helps you to build a strong foundation of advanced accounting, data analysis, finance, investment analysis, and real-world portfolio management skills.</t>
  </si>
  <si>
    <t>Our Full Stack Development course will completely transform your web development journey. It is the need of the hour as most companies are looking for full-stack developers to develop and manage their web projects. A full-stack developer is the one who can independently complete a project by using the variety of skills required for a project. The goal of our Full Stack Development course is to equip you with the unique skills required to build database-backed APIs and web applications. You will learn to work with the latest frontend and backend technologies, debugging web applications and websites, and case studies.</t>
  </si>
  <si>
    <t>Every business in the world is now moving online, and they need digital marketers to manage their digital marketing campaigns. There is a never-ending demand of digital marketers for job roles like digital marketing manager, SEO executive, social media marketers, content marketer, and many others.You will learn about every segment of digital marketing with the practical implementation of every module. You will also come across various case studies about how brands have used digital marketing to grow exponentially</t>
  </si>
  <si>
    <t>The goal of our Professional Program in Data Analytics is to teach you the core principles of data analysis and how to apply these in the real world. Our course will equip you with the technical and practical skills required to become a data analyst.</t>
  </si>
  <si>
    <t>You will learn the basics of graphic design using various visual tools. You will also learn to develop the most stunning &amp; industry relevant designs for posters, stationery, classified ads, books, corporate logos, brochures, newsletters, and a lot more.This program will concentrate on imparting graphic designing knowledge, including Adobe Photoshop,  Adobe Illustrator, and Adobe InDesign.</t>
  </si>
  <si>
    <r>
      <t>Course Fee</t>
    </r>
    <r>
      <rPr>
        <b/>
        <sz val="11"/>
        <color rgb="FFFF0000"/>
        <rFont val="Calibri Light"/>
        <family val="2"/>
        <scheme val="major"/>
      </rPr>
      <t>*</t>
    </r>
  </si>
  <si>
    <r>
      <t>Grading Preferences: </t>
    </r>
    <r>
      <rPr>
        <b/>
        <sz val="11"/>
        <color rgb="FFFF0000"/>
        <rFont val="Calibri Light"/>
        <family val="2"/>
        <scheme val="major"/>
      </rPr>
      <t>*</t>
    </r>
  </si>
  <si>
    <r>
      <t>Name of the Certificate Issued:</t>
    </r>
    <r>
      <rPr>
        <b/>
        <sz val="11"/>
        <color rgb="FFFF0000"/>
        <rFont val="Calibri Light"/>
        <family val="2"/>
        <scheme val="major"/>
      </rPr>
      <t>*</t>
    </r>
  </si>
  <si>
    <r>
      <t>NSQF Level</t>
    </r>
    <r>
      <rPr>
        <b/>
        <sz val="11"/>
        <color rgb="FFFF0000"/>
        <rFont val="Calibri Light"/>
        <family val="2"/>
        <scheme val="major"/>
      </rPr>
      <t>*</t>
    </r>
  </si>
  <si>
    <r>
      <t>Sector</t>
    </r>
    <r>
      <rPr>
        <b/>
        <sz val="11"/>
        <color rgb="FFFF0000"/>
        <rFont val="Calibri Light"/>
        <family val="2"/>
        <scheme val="major"/>
      </rPr>
      <t>*</t>
    </r>
  </si>
  <si>
    <t>Advanced Program in Java Full Stack Development</t>
  </si>
  <si>
    <t>12th Class/Diploma</t>
  </si>
  <si>
    <t xml:space="preserve">This programme will enable you to develop both the front end and back end of a website or an application. After completing this programme, you could work on databases, and web-based projects, build user-facing websites, be involved in prototyping, and plan web-based projects with clients.Designed to be pursued along with regular college.  It is suitable for those who are interested in web development, coding and building web applications. </t>
  </si>
  <si>
    <t>Our Course on Database Management Using SQL is made to give students the know-how to administer and query databases.The students in this course become familiar with Structured Query Language (SQL) as each session advances, increasing the complexity of query handling in databases</t>
  </si>
  <si>
    <t xml:space="preserve">In Our Course you will learn business analytics and data visualization using BI Tool Tableau. During the course you will learn to analyze large datasets, and present data-driven solutions in a visually engaging and impactful manner. You will also learn how to transform raw data into actionable insights, create impactful visualizations, and effectively communicate findings for informed business decision-making.   </t>
  </si>
  <si>
    <t xml:space="preserve">In Our Course you will learn Power BI which is a Business Intelligence tool. You will learn how to bring company data together in one place so that you can analyze and visualize it as a whole and gain valuable insights. You will also learn how to use Power BI to acquire and transform data, enhance the data for analysis, and produce reports and dashboards.  </t>
  </si>
  <si>
    <t>In Our Course R Programming you will learn a language known as R. You will learn how to use RStudio, the environment that allows you to work with R. In this course will cover the software applications and tools that are unique to R, such as R packages. You will also learn how to clean, organize, analyze, visualize, and report data in new and more powerful ways using R.</t>
  </si>
  <si>
    <t>Career-Edge</t>
  </si>
  <si>
    <t>GT</t>
  </si>
  <si>
    <t>Andheri</t>
  </si>
  <si>
    <t>VPE</t>
  </si>
  <si>
    <t>Sr No</t>
  </si>
  <si>
    <t>Course Name:</t>
  </si>
  <si>
    <r>
      <t>Course Duration(In Hours)</t>
    </r>
    <r>
      <rPr>
        <sz val="11"/>
        <color rgb="FFFF0000"/>
        <rFont val="Var(--primary-font)"/>
      </rPr>
      <t>*</t>
    </r>
  </si>
  <si>
    <t>DVOC INSTITUTE - NSDC Ceritified 26 Courses</t>
  </si>
  <si>
    <t>Course Name</t>
  </si>
  <si>
    <t>Hrs</t>
  </si>
  <si>
    <t>Sector</t>
  </si>
  <si>
    <t>IT/ITES</t>
  </si>
  <si>
    <t>Name of the Project/under which new course will be delivered</t>
  </si>
  <si>
    <t>Professional Certificate in AI Essentials</t>
  </si>
  <si>
    <t>Advanced Program in Data Science, ML and Generative AI</t>
  </si>
  <si>
    <t>Web Development with C# and ASP.Net Core</t>
  </si>
  <si>
    <t>NSDC Market Led Program Fee Based</t>
  </si>
  <si>
    <t>No of Yrs /Month</t>
  </si>
  <si>
    <r>
      <t>No of Hours Alternate Days</t>
    </r>
    <r>
      <rPr>
        <sz val="11"/>
        <color rgb="FFFF0000"/>
        <rFont val="Var(--primary-font)"/>
      </rPr>
      <t>*</t>
    </r>
  </si>
  <si>
    <t>No of Hours Everyday</t>
  </si>
  <si>
    <t>Segment(UG/Grad/Any)</t>
  </si>
  <si>
    <t>Pref Stream</t>
  </si>
  <si>
    <t>Affilation</t>
  </si>
  <si>
    <t>Certification Vendor</t>
  </si>
  <si>
    <t>MSCIT</t>
  </si>
  <si>
    <t>Certificate in Data Analysis using Python and R</t>
  </si>
  <si>
    <t>Any</t>
  </si>
  <si>
    <t>UG/Grad</t>
  </si>
  <si>
    <t>BCOM / BAF / BMS / BBI / BFM</t>
  </si>
  <si>
    <t>BSCIT / BCA / BCOM</t>
  </si>
  <si>
    <t>BSCIT / BCA / BCOM / BE / BCOM</t>
  </si>
  <si>
    <t xml:space="preserve">BCOM / BMS / BMM / BA </t>
  </si>
  <si>
    <t>BSCIT / BCA / BCOM / BSC / BAF / BMS</t>
  </si>
  <si>
    <t>BSCIT / BCA / BSC DS / BSC Stats / BE / BTECH</t>
  </si>
  <si>
    <t>Social Media Marketing</t>
  </si>
  <si>
    <t xml:space="preserve">9th , 10th, 11th &amp; 12th </t>
  </si>
  <si>
    <t xml:space="preserve">BSCIT / BCA </t>
  </si>
  <si>
    <t>Cerficate in Dgital Skills and GenAI (Previous Name - CareerEdge)</t>
  </si>
  <si>
    <t>NSDC</t>
  </si>
  <si>
    <t>NSDC / Tally</t>
  </si>
  <si>
    <t>MKCL</t>
  </si>
  <si>
    <t>MSBSVET</t>
  </si>
  <si>
    <t>1 Year</t>
  </si>
  <si>
    <t>2 Years</t>
  </si>
  <si>
    <t>6 Months</t>
  </si>
  <si>
    <t>4 Months</t>
  </si>
  <si>
    <t>3 Months</t>
  </si>
  <si>
    <t>8 Months</t>
  </si>
  <si>
    <t>1.5 Year</t>
  </si>
  <si>
    <t>1 Month</t>
  </si>
  <si>
    <t>2 Months</t>
  </si>
  <si>
    <t>1.5 Month</t>
  </si>
  <si>
    <t>Remarks</t>
  </si>
  <si>
    <t>Dual Qualification</t>
  </si>
  <si>
    <t>2 Weeks</t>
  </si>
  <si>
    <t>Vacation Program</t>
  </si>
  <si>
    <t>DVOC INSTITUTE - PROGRAM CHART</t>
  </si>
  <si>
    <t>UnderGraduate</t>
  </si>
  <si>
    <t>Graduate</t>
  </si>
  <si>
    <t>UnderGraduate/Graduate</t>
  </si>
  <si>
    <t>Terms</t>
  </si>
  <si>
    <t xml:space="preserve">Grad - Fast Track Placement Program </t>
  </si>
  <si>
    <r>
      <t>April Total Fee with GST</t>
    </r>
    <r>
      <rPr>
        <b/>
        <sz val="11"/>
        <color rgb="FFFF0000"/>
        <rFont val="Calibri Light"/>
        <family val="2"/>
        <scheme val="major"/>
      </rPr>
      <t>*</t>
    </r>
  </si>
  <si>
    <t>JUNE2026 Benefit Fees</t>
  </si>
  <si>
    <t>Ms Office With CHAT GPT</t>
  </si>
  <si>
    <r>
      <t>Actual Fees From 1st June 2026</t>
    </r>
    <r>
      <rPr>
        <b/>
        <sz val="11"/>
        <color rgb="FFFF0000"/>
        <rFont val="Calibri Light"/>
        <family val="2"/>
        <scheme val="major"/>
      </rPr>
      <t>*</t>
    </r>
  </si>
  <si>
    <t>JUNE 2026 Total Benefit Fee with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</si>
</sst>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Light"/>
      <family val="2"/>
      <scheme val="major"/>
    </font>
    <font>
      <b/>
      <sz val="11"/>
      <color theme="1"/>
      <name val="Calibri Light"/>
      <family val="2"/>
      <scheme val="major"/>
    </font>
    <font>
      <sz val="11"/>
      <color rgb="FFFF0000"/>
      <name val="Var(--primary-font)"/>
    </font>
    <font>
      <b/>
      <sz val="11"/>
      <color rgb="FFFF0000"/>
      <name val="Calibri Light"/>
      <family val="2"/>
      <scheme val="major"/>
    </font>
    <font>
      <b/>
      <sz val="11"/>
      <color theme="1"/>
      <name val="Calibri"/>
      <family val="2"/>
      <scheme val="minor"/>
    </font>
    <font>
      <sz val="20"/>
      <color theme="1"/>
      <name val="Calibri"/>
      <family val="2"/>
      <scheme val="minor"/>
    </font>
    <font>
      <b/>
      <sz val="24"/>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65">
    <xf numFmtId="0" fontId="0" fillId="0" borderId="0" xfId="0"/>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0" fillId="0" borderId="1" xfId="0" applyBorder="1"/>
    <xf numFmtId="0" fontId="2" fillId="2" borderId="1" xfId="0" applyFont="1" applyFill="1" applyBorder="1" applyAlignment="1">
      <alignment horizontal="center" vertical="center" wrapText="1"/>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wrapText="1"/>
    </xf>
    <xf numFmtId="0" fontId="1" fillId="3" borderId="1" xfId="0" applyFont="1" applyFill="1" applyBorder="1" applyAlignment="1">
      <alignment horizontal="left" vertical="center"/>
    </xf>
    <xf numFmtId="0" fontId="0" fillId="3" borderId="1" xfId="0" applyFill="1" applyBorder="1" applyAlignment="1">
      <alignment horizontal="left"/>
    </xf>
    <xf numFmtId="0" fontId="2" fillId="0" borderId="1" xfId="0" applyFont="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xf>
    <xf numFmtId="0" fontId="0" fillId="0" borderId="0" xfId="0" applyAlignment="1">
      <alignment horizontal="left"/>
    </xf>
    <xf numFmtId="0" fontId="5" fillId="0" borderId="1" xfId="0" applyFont="1" applyBorder="1" applyAlignment="1">
      <alignment horizontal="center"/>
    </xf>
    <xf numFmtId="0" fontId="5" fillId="0" borderId="0" xfId="0" applyFont="1" applyAlignment="1">
      <alignment horizontal="center"/>
    </xf>
    <xf numFmtId="0" fontId="1" fillId="4"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left"/>
    </xf>
    <xf numFmtId="0" fontId="0" fillId="0" borderId="8" xfId="0" applyBorder="1" applyAlignment="1">
      <alignment horizontal="center"/>
    </xf>
    <xf numFmtId="0" fontId="0" fillId="0" borderId="9" xfId="0" applyBorder="1" applyAlignment="1">
      <alignment horizont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0" fillId="0" borderId="8" xfId="0" applyBorder="1"/>
    <xf numFmtId="0" fontId="1" fillId="0" borderId="8" xfId="0" applyFont="1" applyBorder="1" applyAlignment="1">
      <alignment horizontal="left" vertical="center"/>
    </xf>
    <xf numFmtId="0" fontId="1" fillId="0" borderId="1" xfId="0" applyFont="1" applyBorder="1" applyAlignment="1">
      <alignment vertical="center"/>
    </xf>
    <xf numFmtId="0" fontId="0" fillId="0" borderId="18" xfId="0" applyBorder="1" applyAlignment="1">
      <alignment horizontal="center"/>
    </xf>
    <xf numFmtId="0" fontId="0" fillId="0" borderId="19" xfId="0" applyBorder="1" applyAlignment="1">
      <alignment horizontal="center"/>
    </xf>
    <xf numFmtId="0" fontId="0" fillId="3" borderId="1" xfId="0" applyFill="1" applyBorder="1" applyAlignment="1">
      <alignment horizontal="center"/>
    </xf>
    <xf numFmtId="0" fontId="0" fillId="3" borderId="8" xfId="0" applyFill="1" applyBorder="1" applyAlignment="1">
      <alignment horizontal="center"/>
    </xf>
    <xf numFmtId="0" fontId="0" fillId="5" borderId="1" xfId="0" applyFill="1" applyBorder="1" applyAlignment="1">
      <alignment horizontal="center"/>
    </xf>
    <xf numFmtId="0" fontId="0" fillId="5" borderId="8" xfId="0" applyFill="1" applyBorder="1" applyAlignment="1">
      <alignment horizontal="center"/>
    </xf>
    <xf numFmtId="0" fontId="1" fillId="0" borderId="20" xfId="0" applyFont="1" applyBorder="1" applyAlignment="1">
      <alignment horizontal="center" vertical="center"/>
    </xf>
    <xf numFmtId="0" fontId="1" fillId="0" borderId="21" xfId="0" applyFont="1" applyBorder="1" applyAlignment="1">
      <alignment horizontal="left" vertical="center"/>
    </xf>
    <xf numFmtId="0" fontId="0" fillId="0" borderId="21" xfId="0" applyBorder="1" applyAlignment="1">
      <alignment horizontal="center"/>
    </xf>
    <xf numFmtId="0" fontId="0" fillId="3" borderId="21" xfId="0" applyFill="1" applyBorder="1" applyAlignment="1">
      <alignment horizontal="center"/>
    </xf>
    <xf numFmtId="0" fontId="0" fillId="5" borderId="21" xfId="0"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2" fillId="4" borderId="25" xfId="0" applyFont="1" applyFill="1" applyBorder="1" applyAlignment="1">
      <alignment horizontal="center" vertical="center" wrapText="1"/>
    </xf>
    <xf numFmtId="0" fontId="2" fillId="4" borderId="26" xfId="0" applyFont="1" applyFill="1" applyBorder="1" applyAlignment="1">
      <alignment horizontal="center" vertical="center" wrapText="1"/>
    </xf>
    <xf numFmtId="0" fontId="2" fillId="4" borderId="27" xfId="0" applyFont="1" applyFill="1" applyBorder="1" applyAlignment="1">
      <alignment horizontal="center" vertical="center" wrapText="1"/>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0" xfId="0" applyFont="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R29"/>
  <sheetViews>
    <sheetView zoomScale="87" zoomScaleNormal="87" workbookViewId="0">
      <selection activeCell="K14" sqref="K14"/>
    </sheetView>
  </sheetViews>
  <sheetFormatPr defaultRowHeight="15"/>
  <cols>
    <col min="1" max="1" width="1.85546875" customWidth="1"/>
    <col min="2" max="2" width="12.140625" style="6" customWidth="1"/>
    <col min="3" max="4" width="20.28515625" bestFit="1" customWidth="1"/>
    <col min="5" max="5" width="48.7109375" style="13" customWidth="1"/>
    <col min="6" max="8" width="14.28515625" style="15" customWidth="1"/>
    <col min="9" max="9" width="9.140625" style="6"/>
    <col min="10" max="10" width="48" customWidth="1"/>
    <col min="11" max="11" width="49" bestFit="1" customWidth="1"/>
    <col min="12" max="12" width="10.42578125" style="6" customWidth="1"/>
    <col min="13" max="13" width="15" bestFit="1" customWidth="1"/>
    <col min="14" max="14" width="13.42578125" style="6" customWidth="1"/>
    <col min="15" max="15" width="12" style="6" customWidth="1"/>
    <col min="16" max="16" width="12.140625" style="6" bestFit="1" customWidth="1"/>
    <col min="17" max="17" width="15" style="6" customWidth="1"/>
    <col min="18" max="18" width="19.85546875" style="6" customWidth="1"/>
  </cols>
  <sheetData>
    <row r="2" spans="2:18" ht="45">
      <c r="B2" s="2" t="s">
        <v>67</v>
      </c>
      <c r="C2" s="4" t="s">
        <v>33</v>
      </c>
      <c r="D2" s="4" t="s">
        <v>34</v>
      </c>
      <c r="E2" s="10" t="s">
        <v>35</v>
      </c>
      <c r="F2" s="10" t="s">
        <v>76</v>
      </c>
      <c r="G2" s="10" t="s">
        <v>77</v>
      </c>
      <c r="H2" s="10" t="s">
        <v>78</v>
      </c>
      <c r="I2" s="4" t="s">
        <v>66</v>
      </c>
      <c r="J2" s="4" t="s">
        <v>30</v>
      </c>
      <c r="K2" s="4" t="s">
        <v>65</v>
      </c>
      <c r="L2" s="4" t="s">
        <v>36</v>
      </c>
      <c r="M2" s="4" t="s">
        <v>32</v>
      </c>
      <c r="N2" s="4" t="s">
        <v>37</v>
      </c>
      <c r="O2" s="4" t="s">
        <v>31</v>
      </c>
      <c r="P2" s="4" t="s">
        <v>63</v>
      </c>
      <c r="Q2" s="4" t="s">
        <v>64</v>
      </c>
      <c r="R2" s="4" t="s">
        <v>27</v>
      </c>
    </row>
    <row r="3" spans="2:18">
      <c r="B3" s="1" t="s">
        <v>25</v>
      </c>
      <c r="C3" s="3" t="s">
        <v>38</v>
      </c>
      <c r="D3" s="3" t="s">
        <v>39</v>
      </c>
      <c r="E3" s="11" t="s">
        <v>68</v>
      </c>
      <c r="F3" s="16">
        <v>80</v>
      </c>
      <c r="G3" s="16">
        <v>80</v>
      </c>
      <c r="H3" s="16">
        <v>40</v>
      </c>
      <c r="I3" s="5">
        <v>8</v>
      </c>
      <c r="J3" s="3" t="s">
        <v>59</v>
      </c>
      <c r="K3" s="8" t="s">
        <v>68</v>
      </c>
      <c r="L3" s="5">
        <v>15</v>
      </c>
      <c r="M3" s="3" t="s">
        <v>69</v>
      </c>
      <c r="N3" s="5">
        <v>288</v>
      </c>
      <c r="O3" s="5">
        <v>2</v>
      </c>
      <c r="P3" s="5">
        <v>60000</v>
      </c>
      <c r="Q3" s="5" t="s">
        <v>41</v>
      </c>
      <c r="R3" s="5" t="s">
        <v>28</v>
      </c>
    </row>
    <row r="4" spans="2:18">
      <c r="B4" s="1" t="s">
        <v>26</v>
      </c>
      <c r="C4" s="3" t="s">
        <v>38</v>
      </c>
      <c r="D4" s="3" t="s">
        <v>39</v>
      </c>
      <c r="E4" s="11" t="s">
        <v>0</v>
      </c>
      <c r="F4" s="16">
        <v>80</v>
      </c>
      <c r="G4" s="16">
        <v>80</v>
      </c>
      <c r="H4" s="16">
        <v>40</v>
      </c>
      <c r="I4" s="5">
        <v>8</v>
      </c>
      <c r="J4" s="3" t="s">
        <v>58</v>
      </c>
      <c r="K4" s="8" t="s">
        <v>0</v>
      </c>
      <c r="L4" s="5">
        <v>15</v>
      </c>
      <c r="M4" s="3" t="s">
        <v>69</v>
      </c>
      <c r="N4" s="5">
        <v>288</v>
      </c>
      <c r="O4" s="5">
        <v>2</v>
      </c>
      <c r="P4" s="5">
        <v>60000</v>
      </c>
      <c r="Q4" s="5" t="s">
        <v>41</v>
      </c>
      <c r="R4" s="5" t="s">
        <v>28</v>
      </c>
    </row>
    <row r="5" spans="2:18">
      <c r="B5" s="1" t="s">
        <v>25</v>
      </c>
      <c r="C5" s="3" t="s">
        <v>38</v>
      </c>
      <c r="D5" s="3" t="s">
        <v>39</v>
      </c>
      <c r="E5" s="11" t="s">
        <v>1</v>
      </c>
      <c r="F5" s="16">
        <v>50</v>
      </c>
      <c r="G5" s="16">
        <v>30</v>
      </c>
      <c r="H5" s="16">
        <v>20</v>
      </c>
      <c r="I5" s="5">
        <v>8</v>
      </c>
      <c r="J5" s="3" t="s">
        <v>60</v>
      </c>
      <c r="K5" s="8" t="s">
        <v>1</v>
      </c>
      <c r="L5" s="5">
        <v>15</v>
      </c>
      <c r="M5" s="3" t="s">
        <v>69</v>
      </c>
      <c r="N5" s="5">
        <v>110</v>
      </c>
      <c r="O5" s="5">
        <v>2</v>
      </c>
      <c r="P5" s="5">
        <v>50000</v>
      </c>
      <c r="Q5" s="5" t="s">
        <v>41</v>
      </c>
      <c r="R5" s="5" t="s">
        <v>28</v>
      </c>
    </row>
    <row r="6" spans="2:18">
      <c r="B6" s="1" t="s">
        <v>25</v>
      </c>
      <c r="C6" s="3" t="s">
        <v>38</v>
      </c>
      <c r="D6" s="3" t="s">
        <v>39</v>
      </c>
      <c r="E6" s="11" t="s">
        <v>2</v>
      </c>
      <c r="F6" s="16">
        <v>30</v>
      </c>
      <c r="G6" s="16">
        <v>50</v>
      </c>
      <c r="H6" s="16">
        <v>20</v>
      </c>
      <c r="I6" s="5">
        <v>8</v>
      </c>
      <c r="J6" s="3" t="s">
        <v>61</v>
      </c>
      <c r="K6" s="8" t="s">
        <v>2</v>
      </c>
      <c r="L6" s="5">
        <v>15</v>
      </c>
      <c r="M6" s="3" t="s">
        <v>69</v>
      </c>
      <c r="N6" s="5">
        <v>180</v>
      </c>
      <c r="O6" s="5">
        <v>2</v>
      </c>
      <c r="P6" s="5">
        <v>40000</v>
      </c>
      <c r="Q6" s="5" t="s">
        <v>41</v>
      </c>
      <c r="R6" s="5" t="s">
        <v>28</v>
      </c>
    </row>
    <row r="7" spans="2:18">
      <c r="B7" s="1" t="s">
        <v>25</v>
      </c>
      <c r="C7" s="3" t="s">
        <v>38</v>
      </c>
      <c r="D7" s="3" t="s">
        <v>39</v>
      </c>
      <c r="E7" s="11" t="s">
        <v>3</v>
      </c>
      <c r="F7" s="16">
        <v>20</v>
      </c>
      <c r="G7" s="16">
        <v>20</v>
      </c>
      <c r="H7" s="16">
        <v>10</v>
      </c>
      <c r="I7" s="5">
        <v>7</v>
      </c>
      <c r="J7" s="3" t="s">
        <v>55</v>
      </c>
      <c r="K7" s="8" t="s">
        <v>3</v>
      </c>
      <c r="L7" s="5">
        <v>15</v>
      </c>
      <c r="M7" s="3" t="s">
        <v>69</v>
      </c>
      <c r="N7" s="5">
        <v>492</v>
      </c>
      <c r="O7" s="5">
        <v>2</v>
      </c>
      <c r="P7" s="5">
        <v>170000</v>
      </c>
      <c r="Q7" s="5" t="s">
        <v>41</v>
      </c>
      <c r="R7" s="5" t="s">
        <v>28</v>
      </c>
    </row>
    <row r="8" spans="2:18">
      <c r="B8" s="1" t="s">
        <v>25</v>
      </c>
      <c r="C8" s="3" t="s">
        <v>38</v>
      </c>
      <c r="D8" s="3" t="s">
        <v>39</v>
      </c>
      <c r="E8" s="11" t="s">
        <v>4</v>
      </c>
      <c r="F8" s="16">
        <v>20</v>
      </c>
      <c r="G8" s="16">
        <v>20</v>
      </c>
      <c r="H8" s="16">
        <v>10</v>
      </c>
      <c r="I8" s="5">
        <v>7</v>
      </c>
      <c r="J8" s="3" t="s">
        <v>70</v>
      </c>
      <c r="K8" s="8" t="s">
        <v>4</v>
      </c>
      <c r="L8" s="5">
        <v>15</v>
      </c>
      <c r="M8" s="3" t="s">
        <v>69</v>
      </c>
      <c r="N8" s="5">
        <v>524</v>
      </c>
      <c r="O8" s="5">
        <v>2</v>
      </c>
      <c r="P8" s="5">
        <v>180000</v>
      </c>
      <c r="Q8" s="5" t="s">
        <v>41</v>
      </c>
      <c r="R8" s="5" t="s">
        <v>28</v>
      </c>
    </row>
    <row r="9" spans="2:18">
      <c r="B9" s="1" t="s">
        <v>25</v>
      </c>
      <c r="C9" s="3" t="s">
        <v>38</v>
      </c>
      <c r="D9" s="3" t="s">
        <v>39</v>
      </c>
      <c r="E9" s="12" t="s">
        <v>5</v>
      </c>
      <c r="F9" s="5">
        <v>10</v>
      </c>
      <c r="G9" s="5">
        <v>10</v>
      </c>
      <c r="H9" s="14">
        <v>10</v>
      </c>
      <c r="I9" s="5">
        <v>8</v>
      </c>
      <c r="J9" s="3" t="s">
        <v>54</v>
      </c>
      <c r="K9" s="9" t="s">
        <v>5</v>
      </c>
      <c r="L9" s="5">
        <v>14</v>
      </c>
      <c r="M9" s="3" t="s">
        <v>40</v>
      </c>
      <c r="N9" s="5">
        <v>48</v>
      </c>
      <c r="O9" s="5">
        <v>2</v>
      </c>
      <c r="P9" s="5">
        <v>9000</v>
      </c>
      <c r="Q9" s="5" t="s">
        <v>41</v>
      </c>
      <c r="R9" s="5" t="s">
        <v>29</v>
      </c>
    </row>
    <row r="10" spans="2:18">
      <c r="B10" s="1" t="s">
        <v>25</v>
      </c>
      <c r="C10" s="3" t="s">
        <v>38</v>
      </c>
      <c r="D10" s="3" t="s">
        <v>39</v>
      </c>
      <c r="E10" s="12" t="s">
        <v>6</v>
      </c>
      <c r="F10" s="5">
        <v>10</v>
      </c>
      <c r="G10" s="5">
        <v>10</v>
      </c>
      <c r="H10" s="14">
        <v>10</v>
      </c>
      <c r="I10" s="5">
        <v>8</v>
      </c>
      <c r="J10" s="3" t="s">
        <v>51</v>
      </c>
      <c r="K10" s="9" t="s">
        <v>6</v>
      </c>
      <c r="L10" s="5">
        <v>14</v>
      </c>
      <c r="M10" s="3" t="s">
        <v>40</v>
      </c>
      <c r="N10" s="5">
        <v>30</v>
      </c>
      <c r="O10" s="5">
        <v>2</v>
      </c>
      <c r="P10" s="5">
        <v>7000</v>
      </c>
      <c r="Q10" s="5" t="s">
        <v>41</v>
      </c>
      <c r="R10" s="5" t="s">
        <v>29</v>
      </c>
    </row>
    <row r="11" spans="2:18">
      <c r="B11" s="1" t="s">
        <v>25</v>
      </c>
      <c r="C11" s="3" t="s">
        <v>38</v>
      </c>
      <c r="D11" s="3" t="s">
        <v>39</v>
      </c>
      <c r="E11" s="12" t="s">
        <v>7</v>
      </c>
      <c r="F11" s="5">
        <v>10</v>
      </c>
      <c r="G11" s="5">
        <v>10</v>
      </c>
      <c r="H11" s="5"/>
      <c r="I11" s="5">
        <v>8</v>
      </c>
      <c r="J11" s="3" t="s">
        <v>71</v>
      </c>
      <c r="K11" s="9" t="s">
        <v>7</v>
      </c>
      <c r="L11" s="5">
        <v>14</v>
      </c>
      <c r="M11" s="3" t="s">
        <v>40</v>
      </c>
      <c r="N11" s="5">
        <v>36</v>
      </c>
      <c r="O11" s="5">
        <v>2</v>
      </c>
      <c r="P11" s="5">
        <v>9000</v>
      </c>
      <c r="Q11" s="5" t="s">
        <v>41</v>
      </c>
      <c r="R11" s="5" t="s">
        <v>29</v>
      </c>
    </row>
    <row r="12" spans="2:18">
      <c r="B12" s="1" t="s">
        <v>25</v>
      </c>
      <c r="C12" s="3" t="s">
        <v>38</v>
      </c>
      <c r="D12" s="3" t="s">
        <v>39</v>
      </c>
      <c r="E12" s="12" t="s">
        <v>8</v>
      </c>
      <c r="F12" s="5">
        <v>10</v>
      </c>
      <c r="G12" s="5">
        <v>10</v>
      </c>
      <c r="H12" s="5"/>
      <c r="I12" s="5">
        <v>8</v>
      </c>
      <c r="J12" s="3" t="s">
        <v>44</v>
      </c>
      <c r="K12" s="9" t="s">
        <v>8</v>
      </c>
      <c r="L12" s="5">
        <v>14</v>
      </c>
      <c r="M12" s="3" t="s">
        <v>40</v>
      </c>
      <c r="N12" s="5">
        <v>44</v>
      </c>
      <c r="O12" s="5">
        <v>2</v>
      </c>
      <c r="P12" s="5">
        <v>9000</v>
      </c>
      <c r="Q12" s="5" t="s">
        <v>41</v>
      </c>
      <c r="R12" s="5" t="s">
        <v>29</v>
      </c>
    </row>
    <row r="13" spans="2:18">
      <c r="B13" s="1" t="s">
        <v>25</v>
      </c>
      <c r="C13" s="3" t="s">
        <v>38</v>
      </c>
      <c r="D13" s="3" t="s">
        <v>39</v>
      </c>
      <c r="E13" s="12" t="s">
        <v>9</v>
      </c>
      <c r="F13" s="5">
        <v>10</v>
      </c>
      <c r="G13" s="5">
        <v>10</v>
      </c>
      <c r="H13" s="5">
        <v>10</v>
      </c>
      <c r="I13" s="5">
        <v>8</v>
      </c>
      <c r="J13" s="3" t="s">
        <v>43</v>
      </c>
      <c r="K13" s="9" t="s">
        <v>9</v>
      </c>
      <c r="L13" s="5">
        <v>14</v>
      </c>
      <c r="M13" s="3" t="s">
        <v>40</v>
      </c>
      <c r="N13" s="5">
        <v>24</v>
      </c>
      <c r="O13" s="5">
        <v>2</v>
      </c>
      <c r="P13" s="5">
        <v>5000</v>
      </c>
      <c r="Q13" s="5" t="s">
        <v>41</v>
      </c>
      <c r="R13" s="5" t="s">
        <v>29</v>
      </c>
    </row>
    <row r="14" spans="2:18">
      <c r="B14" s="1" t="s">
        <v>25</v>
      </c>
      <c r="C14" s="3" t="s">
        <v>38</v>
      </c>
      <c r="D14" s="3" t="s">
        <v>39</v>
      </c>
      <c r="E14" s="12" t="s">
        <v>10</v>
      </c>
      <c r="F14" s="5">
        <v>10</v>
      </c>
      <c r="G14" s="5">
        <v>10</v>
      </c>
      <c r="H14" s="5"/>
      <c r="I14" s="5">
        <v>8</v>
      </c>
      <c r="J14" s="3" t="s">
        <v>62</v>
      </c>
      <c r="K14" s="9" t="s">
        <v>10</v>
      </c>
      <c r="L14" s="5">
        <v>14</v>
      </c>
      <c r="M14" s="3" t="s">
        <v>40</v>
      </c>
      <c r="N14" s="5">
        <v>60</v>
      </c>
      <c r="O14" s="5">
        <v>2</v>
      </c>
      <c r="P14" s="5">
        <v>15000</v>
      </c>
      <c r="Q14" s="5" t="s">
        <v>41</v>
      </c>
      <c r="R14" s="5" t="s">
        <v>29</v>
      </c>
    </row>
    <row r="15" spans="2:18">
      <c r="B15" s="1" t="s">
        <v>25</v>
      </c>
      <c r="C15" s="3" t="s">
        <v>38</v>
      </c>
      <c r="D15" s="3" t="s">
        <v>39</v>
      </c>
      <c r="E15" s="12" t="s">
        <v>11</v>
      </c>
      <c r="F15" s="5">
        <v>10</v>
      </c>
      <c r="G15" s="5">
        <v>10</v>
      </c>
      <c r="H15" s="5"/>
      <c r="I15" s="5">
        <v>8</v>
      </c>
      <c r="J15" s="3" t="s">
        <v>73</v>
      </c>
      <c r="K15" s="9" t="s">
        <v>11</v>
      </c>
      <c r="L15" s="5">
        <v>14</v>
      </c>
      <c r="M15" s="3" t="s">
        <v>40</v>
      </c>
      <c r="N15" s="5">
        <v>36</v>
      </c>
      <c r="O15" s="5">
        <v>2</v>
      </c>
      <c r="P15" s="5">
        <v>9000</v>
      </c>
      <c r="Q15" s="5" t="s">
        <v>41</v>
      </c>
      <c r="R15" s="5" t="s">
        <v>29</v>
      </c>
    </row>
    <row r="16" spans="2:18">
      <c r="B16" s="1" t="s">
        <v>25</v>
      </c>
      <c r="C16" s="3" t="s">
        <v>38</v>
      </c>
      <c r="D16" s="3" t="s">
        <v>39</v>
      </c>
      <c r="E16" s="12" t="s">
        <v>12</v>
      </c>
      <c r="F16" s="5">
        <v>10</v>
      </c>
      <c r="G16" s="5">
        <v>10</v>
      </c>
      <c r="H16" s="5"/>
      <c r="I16" s="5">
        <v>8</v>
      </c>
      <c r="J16" s="3" t="s">
        <v>72</v>
      </c>
      <c r="K16" s="9" t="s">
        <v>12</v>
      </c>
      <c r="L16" s="5">
        <v>14</v>
      </c>
      <c r="M16" s="3" t="s">
        <v>40</v>
      </c>
      <c r="N16" s="5">
        <v>36</v>
      </c>
      <c r="O16" s="5">
        <v>2</v>
      </c>
      <c r="P16" s="5">
        <v>9000</v>
      </c>
      <c r="Q16" s="5" t="s">
        <v>41</v>
      </c>
      <c r="R16" s="5" t="s">
        <v>29</v>
      </c>
    </row>
    <row r="17" spans="2:18">
      <c r="B17" s="1" t="s">
        <v>25</v>
      </c>
      <c r="C17" s="3" t="s">
        <v>38</v>
      </c>
      <c r="D17" s="3" t="s">
        <v>39</v>
      </c>
      <c r="E17" s="12" t="s">
        <v>13</v>
      </c>
      <c r="F17" s="5">
        <v>10</v>
      </c>
      <c r="G17" s="5">
        <v>10</v>
      </c>
      <c r="H17" s="14">
        <v>10</v>
      </c>
      <c r="I17" s="5">
        <v>8</v>
      </c>
      <c r="J17" s="3" t="s">
        <v>45</v>
      </c>
      <c r="K17" s="9" t="s">
        <v>13</v>
      </c>
      <c r="L17" s="5">
        <v>14</v>
      </c>
      <c r="M17" s="3" t="s">
        <v>40</v>
      </c>
      <c r="N17" s="5">
        <v>35</v>
      </c>
      <c r="O17" s="5">
        <v>2</v>
      </c>
      <c r="P17" s="5">
        <v>5000</v>
      </c>
      <c r="Q17" s="5" t="s">
        <v>41</v>
      </c>
      <c r="R17" s="5" t="s">
        <v>29</v>
      </c>
    </row>
    <row r="18" spans="2:18">
      <c r="B18" s="1" t="s">
        <v>25</v>
      </c>
      <c r="C18" s="3" t="s">
        <v>38</v>
      </c>
      <c r="D18" s="3" t="s">
        <v>39</v>
      </c>
      <c r="E18" s="12" t="s">
        <v>14</v>
      </c>
      <c r="F18" s="5">
        <v>10</v>
      </c>
      <c r="G18" s="5">
        <v>10</v>
      </c>
      <c r="H18" s="14">
        <v>10</v>
      </c>
      <c r="I18" s="5">
        <v>8</v>
      </c>
      <c r="J18" s="3" t="s">
        <v>46</v>
      </c>
      <c r="K18" s="9" t="s">
        <v>14</v>
      </c>
      <c r="L18" s="5">
        <v>14</v>
      </c>
      <c r="M18" s="3" t="s">
        <v>40</v>
      </c>
      <c r="N18" s="5">
        <v>35</v>
      </c>
      <c r="O18" s="5">
        <v>2</v>
      </c>
      <c r="P18" s="5">
        <v>5000</v>
      </c>
      <c r="Q18" s="5" t="s">
        <v>41</v>
      </c>
      <c r="R18" s="5" t="s">
        <v>29</v>
      </c>
    </row>
    <row r="19" spans="2:18">
      <c r="B19" s="1" t="s">
        <v>25</v>
      </c>
      <c r="C19" s="3" t="s">
        <v>38</v>
      </c>
      <c r="D19" s="3" t="s">
        <v>39</v>
      </c>
      <c r="E19" s="12" t="s">
        <v>15</v>
      </c>
      <c r="F19" s="5">
        <v>10</v>
      </c>
      <c r="G19" s="5">
        <v>10</v>
      </c>
      <c r="H19" s="14">
        <v>10</v>
      </c>
      <c r="I19" s="5">
        <v>8</v>
      </c>
      <c r="J19" s="3" t="s">
        <v>47</v>
      </c>
      <c r="K19" s="9" t="s">
        <v>15</v>
      </c>
      <c r="L19" s="5">
        <v>14</v>
      </c>
      <c r="M19" s="3" t="s">
        <v>40</v>
      </c>
      <c r="N19" s="5">
        <v>36</v>
      </c>
      <c r="O19" s="5">
        <v>2</v>
      </c>
      <c r="P19" s="5">
        <v>5000</v>
      </c>
      <c r="Q19" s="5" t="s">
        <v>41</v>
      </c>
      <c r="R19" s="5" t="s">
        <v>29</v>
      </c>
    </row>
    <row r="20" spans="2:18">
      <c r="B20" s="1" t="s">
        <v>25</v>
      </c>
      <c r="C20" s="3" t="s">
        <v>38</v>
      </c>
      <c r="D20" s="3" t="s">
        <v>39</v>
      </c>
      <c r="E20" s="12" t="s">
        <v>16</v>
      </c>
      <c r="F20" s="5">
        <v>10</v>
      </c>
      <c r="G20" s="5">
        <v>10</v>
      </c>
      <c r="H20" s="5"/>
      <c r="I20" s="5">
        <v>8</v>
      </c>
      <c r="J20" s="3" t="s">
        <v>48</v>
      </c>
      <c r="K20" s="9" t="s">
        <v>16</v>
      </c>
      <c r="L20" s="5">
        <v>14</v>
      </c>
      <c r="M20" s="3" t="s">
        <v>40</v>
      </c>
      <c r="N20" s="5">
        <v>40</v>
      </c>
      <c r="O20" s="5">
        <v>2</v>
      </c>
      <c r="P20" s="5">
        <v>9000</v>
      </c>
      <c r="Q20" s="5" t="s">
        <v>41</v>
      </c>
      <c r="R20" s="5" t="s">
        <v>29</v>
      </c>
    </row>
    <row r="21" spans="2:18">
      <c r="B21" s="1" t="s">
        <v>25</v>
      </c>
      <c r="C21" s="3" t="s">
        <v>38</v>
      </c>
      <c r="D21" s="3" t="s">
        <v>39</v>
      </c>
      <c r="E21" s="12" t="s">
        <v>17</v>
      </c>
      <c r="F21" s="5">
        <v>10</v>
      </c>
      <c r="G21" s="5">
        <v>10</v>
      </c>
      <c r="H21" s="5"/>
      <c r="I21" s="5">
        <v>8</v>
      </c>
      <c r="J21" s="3" t="s">
        <v>49</v>
      </c>
      <c r="K21" s="9" t="s">
        <v>17</v>
      </c>
      <c r="L21" s="5">
        <v>14</v>
      </c>
      <c r="M21" s="3" t="s">
        <v>40</v>
      </c>
      <c r="N21" s="5">
        <v>18</v>
      </c>
      <c r="O21" s="5">
        <v>2</v>
      </c>
      <c r="P21" s="5">
        <v>4500</v>
      </c>
      <c r="Q21" s="5" t="s">
        <v>41</v>
      </c>
      <c r="R21" s="5" t="s">
        <v>29</v>
      </c>
    </row>
    <row r="22" spans="2:18">
      <c r="B22" s="1" t="s">
        <v>25</v>
      </c>
      <c r="C22" s="3" t="s">
        <v>38</v>
      </c>
      <c r="D22" s="3" t="s">
        <v>39</v>
      </c>
      <c r="E22" s="12" t="s">
        <v>18</v>
      </c>
      <c r="F22" s="5">
        <v>10</v>
      </c>
      <c r="G22" s="5">
        <v>10</v>
      </c>
      <c r="H22" s="5"/>
      <c r="I22" s="5">
        <v>8</v>
      </c>
      <c r="J22" s="3" t="s">
        <v>50</v>
      </c>
      <c r="K22" s="9" t="s">
        <v>18</v>
      </c>
      <c r="L22" s="5">
        <v>14</v>
      </c>
      <c r="M22" s="3" t="s">
        <v>40</v>
      </c>
      <c r="N22" s="5">
        <v>18</v>
      </c>
      <c r="O22" s="5">
        <v>2</v>
      </c>
      <c r="P22" s="5">
        <v>4500</v>
      </c>
      <c r="Q22" s="5" t="s">
        <v>41</v>
      </c>
      <c r="R22" s="5" t="s">
        <v>29</v>
      </c>
    </row>
    <row r="23" spans="2:18" ht="15" customHeight="1">
      <c r="B23" s="1" t="s">
        <v>25</v>
      </c>
      <c r="C23" s="3" t="s">
        <v>38</v>
      </c>
      <c r="D23" s="3" t="s">
        <v>39</v>
      </c>
      <c r="E23" s="12" t="s">
        <v>19</v>
      </c>
      <c r="F23" s="5">
        <v>10</v>
      </c>
      <c r="G23" s="5">
        <v>10</v>
      </c>
      <c r="H23" s="5">
        <v>10</v>
      </c>
      <c r="I23" s="5">
        <v>8</v>
      </c>
      <c r="J23" s="7" t="s">
        <v>42</v>
      </c>
      <c r="K23" s="9" t="s">
        <v>19</v>
      </c>
      <c r="L23" s="5">
        <v>14</v>
      </c>
      <c r="M23" s="3" t="s">
        <v>40</v>
      </c>
      <c r="N23" s="5">
        <v>36</v>
      </c>
      <c r="O23" s="5">
        <v>2</v>
      </c>
      <c r="P23" s="5">
        <v>5000</v>
      </c>
      <c r="Q23" s="5" t="s">
        <v>41</v>
      </c>
      <c r="R23" s="5" t="s">
        <v>29</v>
      </c>
    </row>
    <row r="24" spans="2:18">
      <c r="B24" s="1" t="s">
        <v>25</v>
      </c>
      <c r="C24" s="3" t="s">
        <v>38</v>
      </c>
      <c r="D24" s="3" t="s">
        <v>39</v>
      </c>
      <c r="E24" s="12" t="s">
        <v>20</v>
      </c>
      <c r="F24" s="5">
        <v>10</v>
      </c>
      <c r="G24" s="5">
        <v>10</v>
      </c>
      <c r="H24" s="5"/>
      <c r="I24" s="5">
        <v>7</v>
      </c>
      <c r="J24" s="3" t="s">
        <v>74</v>
      </c>
      <c r="K24" s="9" t="s">
        <v>20</v>
      </c>
      <c r="L24" s="5">
        <v>14</v>
      </c>
      <c r="M24" s="3" t="s">
        <v>40</v>
      </c>
      <c r="N24" s="5">
        <v>36</v>
      </c>
      <c r="O24" s="5">
        <v>2</v>
      </c>
      <c r="P24" s="5">
        <v>9000</v>
      </c>
      <c r="Q24" s="5" t="s">
        <v>41</v>
      </c>
      <c r="R24" s="5" t="s">
        <v>29</v>
      </c>
    </row>
    <row r="25" spans="2:18">
      <c r="B25" s="1" t="s">
        <v>25</v>
      </c>
      <c r="C25" s="3" t="s">
        <v>38</v>
      </c>
      <c r="D25" s="3" t="s">
        <v>39</v>
      </c>
      <c r="E25" s="12" t="s">
        <v>21</v>
      </c>
      <c r="F25" s="5">
        <v>10</v>
      </c>
      <c r="G25" s="5">
        <v>10</v>
      </c>
      <c r="H25" s="5"/>
      <c r="I25" s="5">
        <v>8</v>
      </c>
      <c r="J25" s="3" t="s">
        <v>53</v>
      </c>
      <c r="K25" s="9" t="s">
        <v>21</v>
      </c>
      <c r="L25" s="5">
        <v>14</v>
      </c>
      <c r="M25" s="3" t="s">
        <v>40</v>
      </c>
      <c r="N25" s="5">
        <v>48</v>
      </c>
      <c r="O25" s="5">
        <v>2</v>
      </c>
      <c r="P25" s="5">
        <v>9000</v>
      </c>
      <c r="Q25" s="5" t="s">
        <v>41</v>
      </c>
      <c r="R25" s="5" t="s">
        <v>29</v>
      </c>
    </row>
    <row r="26" spans="2:18">
      <c r="B26" s="1" t="s">
        <v>25</v>
      </c>
      <c r="C26" s="3" t="s">
        <v>38</v>
      </c>
      <c r="D26" s="3" t="s">
        <v>39</v>
      </c>
      <c r="E26" s="12" t="s">
        <v>75</v>
      </c>
      <c r="F26" s="5">
        <v>10</v>
      </c>
      <c r="G26" s="5">
        <v>10</v>
      </c>
      <c r="H26" s="5">
        <v>10</v>
      </c>
      <c r="I26" s="5">
        <v>8</v>
      </c>
      <c r="J26" s="3" t="s">
        <v>57</v>
      </c>
      <c r="K26" s="9" t="s">
        <v>22</v>
      </c>
      <c r="L26" s="5">
        <v>14</v>
      </c>
      <c r="M26" s="3" t="s">
        <v>40</v>
      </c>
      <c r="N26" s="5">
        <v>80</v>
      </c>
      <c r="O26" s="5">
        <v>2</v>
      </c>
      <c r="P26" s="5">
        <v>15000</v>
      </c>
      <c r="Q26" s="5" t="s">
        <v>41</v>
      </c>
      <c r="R26" s="5" t="s">
        <v>29</v>
      </c>
    </row>
    <row r="27" spans="2:18">
      <c r="B27" s="1" t="s">
        <v>25</v>
      </c>
      <c r="C27" s="3" t="s">
        <v>38</v>
      </c>
      <c r="D27" s="3" t="s">
        <v>39</v>
      </c>
      <c r="E27" s="12" t="s">
        <v>23</v>
      </c>
      <c r="F27" s="5">
        <v>10</v>
      </c>
      <c r="G27" s="5">
        <v>10</v>
      </c>
      <c r="H27" s="14">
        <v>10</v>
      </c>
      <c r="I27" s="5">
        <v>8</v>
      </c>
      <c r="J27" s="3" t="s">
        <v>56</v>
      </c>
      <c r="K27" s="9" t="s">
        <v>23</v>
      </c>
      <c r="L27" s="5">
        <v>14</v>
      </c>
      <c r="M27" s="3" t="s">
        <v>40</v>
      </c>
      <c r="N27" s="5">
        <v>80</v>
      </c>
      <c r="O27" s="5">
        <v>2</v>
      </c>
      <c r="P27" s="5">
        <v>15000</v>
      </c>
      <c r="Q27" s="5" t="s">
        <v>41</v>
      </c>
      <c r="R27" s="5" t="s">
        <v>29</v>
      </c>
    </row>
    <row r="28" spans="2:18">
      <c r="B28" s="1" t="s">
        <v>25</v>
      </c>
      <c r="C28" s="3" t="s">
        <v>38</v>
      </c>
      <c r="D28" s="3" t="s">
        <v>39</v>
      </c>
      <c r="E28" s="12" t="s">
        <v>24</v>
      </c>
      <c r="F28" s="5">
        <v>10</v>
      </c>
      <c r="G28" s="5">
        <v>10</v>
      </c>
      <c r="H28" s="5">
        <v>10</v>
      </c>
      <c r="I28" s="5">
        <v>8</v>
      </c>
      <c r="J28" s="3" t="s">
        <v>52</v>
      </c>
      <c r="K28" s="9" t="s">
        <v>24</v>
      </c>
      <c r="L28" s="5">
        <v>14</v>
      </c>
      <c r="M28" s="3" t="s">
        <v>40</v>
      </c>
      <c r="N28" s="5">
        <v>36</v>
      </c>
      <c r="O28" s="5">
        <v>2</v>
      </c>
      <c r="P28" s="5">
        <v>5000</v>
      </c>
      <c r="Q28" s="5" t="s">
        <v>41</v>
      </c>
      <c r="R28" s="5" t="s">
        <v>29</v>
      </c>
    </row>
    <row r="29" spans="2:18">
      <c r="F29" s="6">
        <f>SUM(F3:F28)</f>
        <v>480</v>
      </c>
      <c r="G29" s="6">
        <f>SUM(G3:G28)</f>
        <v>480</v>
      </c>
      <c r="H29" s="6">
        <f>SUM(H3:H28)</f>
        <v>240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G8"/>
  <sheetViews>
    <sheetView workbookViewId="0">
      <selection activeCell="D4" sqref="D4"/>
    </sheetView>
  </sheetViews>
  <sheetFormatPr defaultRowHeight="15"/>
  <cols>
    <col min="4" max="4" width="52.5703125" bestFit="1" customWidth="1"/>
    <col min="5" max="5" width="17.42578125" style="6" customWidth="1"/>
    <col min="6" max="6" width="56.140625" customWidth="1"/>
  </cols>
  <sheetData>
    <row r="3" spans="3:7">
      <c r="C3" s="5" t="s">
        <v>79</v>
      </c>
      <c r="D3" s="5" t="s">
        <v>83</v>
      </c>
      <c r="E3" s="5" t="s">
        <v>85</v>
      </c>
      <c r="F3" s="5" t="s">
        <v>87</v>
      </c>
      <c r="G3" s="5" t="s">
        <v>84</v>
      </c>
    </row>
    <row r="4" spans="3:7">
      <c r="C4" s="5">
        <v>1</v>
      </c>
      <c r="D4" s="5" t="s">
        <v>88</v>
      </c>
      <c r="E4" s="5" t="s">
        <v>86</v>
      </c>
      <c r="F4" s="5" t="s">
        <v>91</v>
      </c>
      <c r="G4" s="5">
        <v>36</v>
      </c>
    </row>
    <row r="5" spans="3:7">
      <c r="C5" s="5"/>
      <c r="D5" s="5"/>
      <c r="E5" s="5"/>
      <c r="F5" s="5"/>
      <c r="G5" s="5"/>
    </row>
    <row r="6" spans="3:7">
      <c r="C6" s="5">
        <v>2</v>
      </c>
      <c r="D6" s="5" t="s">
        <v>89</v>
      </c>
      <c r="E6" s="5" t="s">
        <v>86</v>
      </c>
      <c r="F6" s="5" t="s">
        <v>91</v>
      </c>
      <c r="G6" s="5">
        <v>380</v>
      </c>
    </row>
    <row r="7" spans="3:7">
      <c r="C7" s="5"/>
      <c r="D7" s="5"/>
      <c r="E7" s="5"/>
      <c r="F7" s="5"/>
      <c r="G7" s="5"/>
    </row>
    <row r="8" spans="3:7">
      <c r="C8" s="5">
        <v>3</v>
      </c>
      <c r="D8" s="5" t="s">
        <v>90</v>
      </c>
      <c r="E8" s="5" t="s">
        <v>86</v>
      </c>
      <c r="F8" s="5" t="s">
        <v>91</v>
      </c>
      <c r="G8" s="5">
        <v>88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40"/>
  <sheetViews>
    <sheetView tabSelected="1" topLeftCell="F7" workbookViewId="0">
      <selection activeCell="N22" sqref="N22"/>
    </sheetView>
  </sheetViews>
  <sheetFormatPr defaultRowHeight="15"/>
  <cols>
    <col min="1" max="1" width="1.85546875" customWidth="1"/>
    <col min="3" max="3" width="45.85546875" customWidth="1"/>
    <col min="4" max="4" width="11.5703125" customWidth="1"/>
    <col min="5" max="5" width="7.28515625" customWidth="1"/>
    <col min="6" max="6" width="24" bestFit="1" customWidth="1"/>
    <col min="7" max="7" width="40.7109375" bestFit="1" customWidth="1"/>
    <col min="8" max="8" width="13.140625" bestFit="1" customWidth="1"/>
    <col min="9" max="9" width="13.42578125" customWidth="1"/>
    <col min="10" max="10" width="11.7109375" customWidth="1"/>
    <col min="11" max="11" width="15" customWidth="1"/>
    <col min="12" max="12" width="12.140625" customWidth="1"/>
    <col min="13" max="13" width="10.85546875" customWidth="1"/>
    <col min="14" max="14" width="12" customWidth="1"/>
    <col min="15" max="17" width="15.42578125" customWidth="1"/>
    <col min="18" max="18" width="34.28515625" bestFit="1" customWidth="1"/>
    <col min="19" max="19" width="22" customWidth="1"/>
    <col min="20" max="20" width="8.140625" customWidth="1"/>
  </cols>
  <sheetData>
    <row r="1" spans="2:19">
      <c r="C1" s="50" t="s">
        <v>131</v>
      </c>
      <c r="D1" s="51"/>
      <c r="E1" s="51"/>
      <c r="F1" s="51"/>
      <c r="G1" s="51"/>
      <c r="H1" s="51"/>
      <c r="I1" s="51"/>
      <c r="J1" s="51"/>
      <c r="K1" s="51"/>
      <c r="L1" s="51"/>
      <c r="M1" s="51"/>
      <c r="N1" s="51"/>
      <c r="O1" s="51"/>
      <c r="P1" s="51"/>
      <c r="Q1" s="51"/>
      <c r="R1" s="52"/>
    </row>
    <row r="2" spans="2:19" ht="27" customHeight="1" thickBot="1">
      <c r="C2" s="53"/>
      <c r="D2" s="54"/>
      <c r="E2" s="54"/>
      <c r="F2" s="54"/>
      <c r="G2" s="54"/>
      <c r="H2" s="54"/>
      <c r="I2" s="54"/>
      <c r="J2" s="54"/>
      <c r="K2" s="54"/>
      <c r="L2" s="54"/>
      <c r="M2" s="54"/>
      <c r="N2" s="54"/>
      <c r="O2" s="54"/>
      <c r="P2" s="54"/>
      <c r="Q2" s="54"/>
      <c r="R2" s="55"/>
    </row>
    <row r="3" spans="2:19" ht="15.75" thickBot="1"/>
    <row r="4" spans="2:19" ht="57" customHeight="1" thickBot="1">
      <c r="B4" s="45" t="s">
        <v>79</v>
      </c>
      <c r="C4" s="46" t="s">
        <v>35</v>
      </c>
      <c r="D4" s="47" t="s">
        <v>37</v>
      </c>
      <c r="E4" s="47" t="s">
        <v>135</v>
      </c>
      <c r="F4" s="47" t="s">
        <v>95</v>
      </c>
      <c r="G4" s="47" t="s">
        <v>96</v>
      </c>
      <c r="H4" s="47" t="s">
        <v>94</v>
      </c>
      <c r="I4" s="47" t="s">
        <v>92</v>
      </c>
      <c r="J4" s="47" t="s">
        <v>93</v>
      </c>
      <c r="K4" s="47" t="s">
        <v>92</v>
      </c>
      <c r="L4" s="47" t="s">
        <v>140</v>
      </c>
      <c r="M4" s="47" t="s">
        <v>137</v>
      </c>
      <c r="N4" s="47" t="s">
        <v>138</v>
      </c>
      <c r="O4" s="47" t="s">
        <v>141</v>
      </c>
      <c r="P4" s="47" t="s">
        <v>97</v>
      </c>
      <c r="Q4" s="47" t="s">
        <v>98</v>
      </c>
      <c r="R4" s="48" t="s">
        <v>127</v>
      </c>
      <c r="S4" s="49" t="s">
        <v>27</v>
      </c>
    </row>
    <row r="5" spans="2:19">
      <c r="B5" s="38">
        <v>1</v>
      </c>
      <c r="C5" s="39" t="s">
        <v>3</v>
      </c>
      <c r="D5" s="40">
        <v>492</v>
      </c>
      <c r="E5" s="40">
        <v>7</v>
      </c>
      <c r="F5" s="40" t="s">
        <v>132</v>
      </c>
      <c r="G5" s="40" t="s">
        <v>103</v>
      </c>
      <c r="H5" s="41">
        <v>2</v>
      </c>
      <c r="I5" s="41" t="s">
        <v>117</v>
      </c>
      <c r="J5" s="42">
        <v>2</v>
      </c>
      <c r="K5" s="42" t="s">
        <v>118</v>
      </c>
      <c r="L5" s="40">
        <v>170000</v>
      </c>
      <c r="M5" s="40">
        <f>L5*18%+L5</f>
        <v>200600</v>
      </c>
      <c r="N5" s="40">
        <v>150000</v>
      </c>
      <c r="O5" s="40">
        <f>N5*18%+N5</f>
        <v>177000</v>
      </c>
      <c r="P5" s="40" t="s">
        <v>113</v>
      </c>
      <c r="Q5" s="40" t="s">
        <v>113</v>
      </c>
      <c r="R5" s="43" t="s">
        <v>128</v>
      </c>
      <c r="S5" s="44" t="s">
        <v>28</v>
      </c>
    </row>
    <row r="6" spans="2:19">
      <c r="B6" s="27">
        <v>2</v>
      </c>
      <c r="C6" s="11" t="s">
        <v>4</v>
      </c>
      <c r="D6" s="5">
        <v>524</v>
      </c>
      <c r="E6" s="5">
        <v>7</v>
      </c>
      <c r="F6" s="5" t="s">
        <v>132</v>
      </c>
      <c r="G6" s="5" t="s">
        <v>104</v>
      </c>
      <c r="H6" s="34">
        <v>2</v>
      </c>
      <c r="I6" s="34" t="s">
        <v>117</v>
      </c>
      <c r="J6" s="36">
        <v>2</v>
      </c>
      <c r="K6" s="36" t="s">
        <v>118</v>
      </c>
      <c r="L6" s="5">
        <v>180000</v>
      </c>
      <c r="M6" s="5">
        <f t="shared" ref="M6:O40" si="0">L6*18%+L6</f>
        <v>212400</v>
      </c>
      <c r="N6" s="5">
        <v>155000</v>
      </c>
      <c r="O6" s="40">
        <f t="shared" ref="O6:O39" si="1">N6*18%+N6</f>
        <v>182900</v>
      </c>
      <c r="P6" s="5" t="s">
        <v>113</v>
      </c>
      <c r="Q6" s="5" t="s">
        <v>113</v>
      </c>
      <c r="R6" s="32" t="s">
        <v>128</v>
      </c>
      <c r="S6" s="22" t="s">
        <v>28</v>
      </c>
    </row>
    <row r="7" spans="2:19">
      <c r="B7" s="27">
        <v>3</v>
      </c>
      <c r="C7" s="11" t="s">
        <v>68</v>
      </c>
      <c r="D7" s="5">
        <v>288</v>
      </c>
      <c r="E7" s="5">
        <v>3</v>
      </c>
      <c r="F7" s="5" t="s">
        <v>132</v>
      </c>
      <c r="G7" s="5" t="s">
        <v>105</v>
      </c>
      <c r="H7" s="34">
        <v>2</v>
      </c>
      <c r="I7" s="34" t="s">
        <v>119</v>
      </c>
      <c r="J7" s="36">
        <v>2</v>
      </c>
      <c r="K7" s="36" t="s">
        <v>117</v>
      </c>
      <c r="L7" s="5">
        <v>70000</v>
      </c>
      <c r="M7" s="5">
        <f t="shared" si="0"/>
        <v>82600</v>
      </c>
      <c r="N7" s="5">
        <v>55000</v>
      </c>
      <c r="O7" s="40">
        <f t="shared" si="1"/>
        <v>64900</v>
      </c>
      <c r="P7" s="5" t="s">
        <v>113</v>
      </c>
      <c r="Q7" s="5" t="s">
        <v>113</v>
      </c>
      <c r="R7" s="32" t="s">
        <v>128</v>
      </c>
      <c r="S7" s="22" t="s">
        <v>28</v>
      </c>
    </row>
    <row r="8" spans="2:19">
      <c r="B8" s="27">
        <v>4</v>
      </c>
      <c r="C8" s="11" t="s">
        <v>0</v>
      </c>
      <c r="D8" s="5">
        <v>288</v>
      </c>
      <c r="E8" s="5">
        <v>3</v>
      </c>
      <c r="F8" s="5" t="s">
        <v>132</v>
      </c>
      <c r="G8" s="5" t="s">
        <v>103</v>
      </c>
      <c r="H8" s="34">
        <v>2</v>
      </c>
      <c r="I8" s="34" t="s">
        <v>119</v>
      </c>
      <c r="J8" s="36">
        <v>2</v>
      </c>
      <c r="K8" s="36" t="s">
        <v>117</v>
      </c>
      <c r="L8" s="5">
        <v>70000</v>
      </c>
      <c r="M8" s="5">
        <f t="shared" si="0"/>
        <v>82600</v>
      </c>
      <c r="N8" s="5">
        <v>55000</v>
      </c>
      <c r="O8" s="40">
        <f t="shared" si="1"/>
        <v>64900</v>
      </c>
      <c r="P8" s="5" t="s">
        <v>113</v>
      </c>
      <c r="Q8" s="5" t="s">
        <v>113</v>
      </c>
      <c r="R8" s="32" t="s">
        <v>128</v>
      </c>
      <c r="S8" s="22" t="s">
        <v>28</v>
      </c>
    </row>
    <row r="9" spans="2:19">
      <c r="B9" s="27">
        <v>5</v>
      </c>
      <c r="C9" s="11" t="s">
        <v>1</v>
      </c>
      <c r="D9" s="5">
        <v>110</v>
      </c>
      <c r="E9" s="5"/>
      <c r="F9" s="5" t="s">
        <v>132</v>
      </c>
      <c r="G9" s="5" t="s">
        <v>106</v>
      </c>
      <c r="H9" s="34">
        <v>2</v>
      </c>
      <c r="I9" s="34" t="s">
        <v>121</v>
      </c>
      <c r="J9" s="36">
        <v>2</v>
      </c>
      <c r="K9" s="36" t="s">
        <v>119</v>
      </c>
      <c r="L9" s="5">
        <v>70000</v>
      </c>
      <c r="M9" s="5">
        <f t="shared" si="0"/>
        <v>82600</v>
      </c>
      <c r="N9" s="5">
        <v>50000</v>
      </c>
      <c r="O9" s="40">
        <f t="shared" si="1"/>
        <v>59000</v>
      </c>
      <c r="P9" s="5" t="s">
        <v>113</v>
      </c>
      <c r="Q9" s="5" t="s">
        <v>113</v>
      </c>
      <c r="R9" s="32" t="s">
        <v>128</v>
      </c>
      <c r="S9" s="22" t="s">
        <v>28</v>
      </c>
    </row>
    <row r="10" spans="2:19">
      <c r="B10" s="27">
        <v>6</v>
      </c>
      <c r="C10" s="11" t="s">
        <v>2</v>
      </c>
      <c r="D10" s="5">
        <v>180</v>
      </c>
      <c r="E10" s="5">
        <v>2</v>
      </c>
      <c r="F10" s="5" t="s">
        <v>132</v>
      </c>
      <c r="G10" s="5" t="s">
        <v>107</v>
      </c>
      <c r="H10" s="34">
        <v>2</v>
      </c>
      <c r="I10" s="34" t="s">
        <v>120</v>
      </c>
      <c r="J10" s="36">
        <v>2</v>
      </c>
      <c r="K10" s="36" t="s">
        <v>122</v>
      </c>
      <c r="L10" s="5">
        <v>70000</v>
      </c>
      <c r="M10" s="5">
        <f t="shared" si="0"/>
        <v>82600</v>
      </c>
      <c r="N10" s="5">
        <v>55000</v>
      </c>
      <c r="O10" s="40">
        <f t="shared" si="1"/>
        <v>64900</v>
      </c>
      <c r="P10" s="5" t="s">
        <v>113</v>
      </c>
      <c r="Q10" s="5" t="s">
        <v>113</v>
      </c>
      <c r="R10" s="32" t="s">
        <v>128</v>
      </c>
      <c r="S10" s="22" t="s">
        <v>28</v>
      </c>
    </row>
    <row r="11" spans="2:19">
      <c r="B11" s="27">
        <v>7</v>
      </c>
      <c r="C11" s="11" t="s">
        <v>89</v>
      </c>
      <c r="D11" s="5">
        <v>380</v>
      </c>
      <c r="E11" s="5"/>
      <c r="F11" s="5" t="s">
        <v>132</v>
      </c>
      <c r="G11" s="5" t="s">
        <v>108</v>
      </c>
      <c r="H11" s="34">
        <v>2</v>
      </c>
      <c r="I11" s="34" t="s">
        <v>122</v>
      </c>
      <c r="J11" s="36">
        <v>2</v>
      </c>
      <c r="K11" s="36" t="s">
        <v>123</v>
      </c>
      <c r="L11" s="5">
        <v>150000</v>
      </c>
      <c r="M11" s="5">
        <f t="shared" si="0"/>
        <v>177000</v>
      </c>
      <c r="N11" s="5">
        <v>130000</v>
      </c>
      <c r="O11" s="40">
        <f t="shared" si="1"/>
        <v>153400</v>
      </c>
      <c r="P11" s="5" t="s">
        <v>113</v>
      </c>
      <c r="Q11" s="5" t="s">
        <v>113</v>
      </c>
      <c r="R11" s="32" t="s">
        <v>128</v>
      </c>
      <c r="S11" s="22" t="s">
        <v>28</v>
      </c>
    </row>
    <row r="12" spans="2:19">
      <c r="B12" s="27">
        <v>8</v>
      </c>
      <c r="C12" s="11" t="s">
        <v>68</v>
      </c>
      <c r="D12" s="5">
        <v>288</v>
      </c>
      <c r="E12" s="5">
        <v>3</v>
      </c>
      <c r="F12" s="5" t="s">
        <v>133</v>
      </c>
      <c r="G12" s="5" t="s">
        <v>105</v>
      </c>
      <c r="H12" s="34">
        <v>2</v>
      </c>
      <c r="I12" s="34" t="s">
        <v>119</v>
      </c>
      <c r="J12" s="36">
        <v>2</v>
      </c>
      <c r="K12" s="36" t="s">
        <v>117</v>
      </c>
      <c r="L12" s="5">
        <v>70000</v>
      </c>
      <c r="M12" s="5">
        <f t="shared" si="0"/>
        <v>82600</v>
      </c>
      <c r="N12" s="5">
        <v>55000</v>
      </c>
      <c r="O12" s="40">
        <f t="shared" si="1"/>
        <v>64900</v>
      </c>
      <c r="P12" s="5" t="s">
        <v>113</v>
      </c>
      <c r="Q12" s="5" t="s">
        <v>113</v>
      </c>
      <c r="R12" s="32" t="s">
        <v>136</v>
      </c>
      <c r="S12" s="22" t="s">
        <v>28</v>
      </c>
    </row>
    <row r="13" spans="2:19">
      <c r="B13" s="27">
        <v>9</v>
      </c>
      <c r="C13" s="11" t="s">
        <v>0</v>
      </c>
      <c r="D13" s="5">
        <v>288</v>
      </c>
      <c r="E13" s="5">
        <v>3</v>
      </c>
      <c r="F13" s="5" t="s">
        <v>133</v>
      </c>
      <c r="G13" s="5" t="s">
        <v>103</v>
      </c>
      <c r="H13" s="34">
        <v>2</v>
      </c>
      <c r="I13" s="34" t="s">
        <v>119</v>
      </c>
      <c r="J13" s="36">
        <v>2</v>
      </c>
      <c r="K13" s="36" t="s">
        <v>117</v>
      </c>
      <c r="L13" s="5">
        <v>70000</v>
      </c>
      <c r="M13" s="5">
        <f t="shared" si="0"/>
        <v>82600</v>
      </c>
      <c r="N13" s="5">
        <v>55000</v>
      </c>
      <c r="O13" s="40">
        <f t="shared" si="1"/>
        <v>64900</v>
      </c>
      <c r="P13" s="5" t="s">
        <v>113</v>
      </c>
      <c r="Q13" s="5" t="s">
        <v>113</v>
      </c>
      <c r="R13" s="32" t="s">
        <v>136</v>
      </c>
      <c r="S13" s="22" t="s">
        <v>28</v>
      </c>
    </row>
    <row r="14" spans="2:19">
      <c r="B14" s="27">
        <v>10</v>
      </c>
      <c r="C14" s="11" t="s">
        <v>1</v>
      </c>
      <c r="D14" s="5">
        <v>110</v>
      </c>
      <c r="E14" s="5"/>
      <c r="F14" s="5" t="s">
        <v>133</v>
      </c>
      <c r="G14" s="5" t="s">
        <v>106</v>
      </c>
      <c r="H14" s="34">
        <v>2</v>
      </c>
      <c r="I14" s="34" t="s">
        <v>121</v>
      </c>
      <c r="J14" s="36">
        <v>2</v>
      </c>
      <c r="K14" s="36" t="s">
        <v>119</v>
      </c>
      <c r="L14" s="5">
        <v>70000</v>
      </c>
      <c r="M14" s="5">
        <f t="shared" si="0"/>
        <v>82600</v>
      </c>
      <c r="N14" s="5">
        <v>50000</v>
      </c>
      <c r="O14" s="40">
        <f t="shared" si="1"/>
        <v>59000</v>
      </c>
      <c r="P14" s="5" t="s">
        <v>113</v>
      </c>
      <c r="Q14" s="5" t="s">
        <v>113</v>
      </c>
      <c r="R14" s="32" t="s">
        <v>136</v>
      </c>
      <c r="S14" s="22" t="s">
        <v>28</v>
      </c>
    </row>
    <row r="15" spans="2:19">
      <c r="B15" s="27">
        <v>11</v>
      </c>
      <c r="C15" s="11" t="s">
        <v>2</v>
      </c>
      <c r="D15" s="5">
        <v>180</v>
      </c>
      <c r="E15" s="5">
        <v>2</v>
      </c>
      <c r="F15" s="5" t="s">
        <v>133</v>
      </c>
      <c r="G15" s="5" t="s">
        <v>107</v>
      </c>
      <c r="H15" s="34">
        <v>2</v>
      </c>
      <c r="I15" s="34" t="s">
        <v>120</v>
      </c>
      <c r="J15" s="36">
        <v>2</v>
      </c>
      <c r="K15" s="36" t="s">
        <v>122</v>
      </c>
      <c r="L15" s="5">
        <v>70000</v>
      </c>
      <c r="M15" s="5">
        <f t="shared" si="0"/>
        <v>82600</v>
      </c>
      <c r="N15" s="5">
        <v>55000</v>
      </c>
      <c r="O15" s="40">
        <f t="shared" si="1"/>
        <v>64900</v>
      </c>
      <c r="P15" s="5" t="s">
        <v>113</v>
      </c>
      <c r="Q15" s="5" t="s">
        <v>113</v>
      </c>
      <c r="R15" s="32" t="s">
        <v>136</v>
      </c>
      <c r="S15" s="22" t="s">
        <v>28</v>
      </c>
    </row>
    <row r="16" spans="2:19">
      <c r="B16" s="27">
        <v>12</v>
      </c>
      <c r="C16" s="11" t="s">
        <v>89</v>
      </c>
      <c r="D16" s="5">
        <v>380</v>
      </c>
      <c r="E16" s="5"/>
      <c r="F16" s="5" t="s">
        <v>133</v>
      </c>
      <c r="G16" s="5" t="s">
        <v>108</v>
      </c>
      <c r="H16" s="34">
        <v>2</v>
      </c>
      <c r="I16" s="34" t="s">
        <v>122</v>
      </c>
      <c r="J16" s="36">
        <v>2</v>
      </c>
      <c r="K16" s="36" t="s">
        <v>123</v>
      </c>
      <c r="L16" s="5">
        <v>150000</v>
      </c>
      <c r="M16" s="5">
        <f t="shared" si="0"/>
        <v>177000</v>
      </c>
      <c r="N16" s="5">
        <v>130000</v>
      </c>
      <c r="O16" s="40">
        <f t="shared" si="1"/>
        <v>153400</v>
      </c>
      <c r="P16" s="5" t="s">
        <v>113</v>
      </c>
      <c r="Q16" s="5" t="s">
        <v>113</v>
      </c>
      <c r="R16" s="32" t="s">
        <v>136</v>
      </c>
      <c r="S16" s="22" t="s">
        <v>28</v>
      </c>
    </row>
    <row r="17" spans="2:19">
      <c r="B17" s="27">
        <v>13</v>
      </c>
      <c r="C17" s="11" t="s">
        <v>5</v>
      </c>
      <c r="D17" s="5">
        <v>48</v>
      </c>
      <c r="E17" s="5"/>
      <c r="F17" s="5" t="s">
        <v>101</v>
      </c>
      <c r="G17" s="5"/>
      <c r="H17" s="34">
        <v>2</v>
      </c>
      <c r="I17" s="34" t="s">
        <v>124</v>
      </c>
      <c r="J17" s="36">
        <v>2</v>
      </c>
      <c r="K17" s="36" t="s">
        <v>125</v>
      </c>
      <c r="L17" s="5">
        <v>9000</v>
      </c>
      <c r="M17" s="5">
        <f t="shared" si="0"/>
        <v>10620</v>
      </c>
      <c r="N17" s="5">
        <v>9000</v>
      </c>
      <c r="O17" s="40">
        <f t="shared" si="1"/>
        <v>10620</v>
      </c>
      <c r="P17" s="5" t="s">
        <v>113</v>
      </c>
      <c r="Q17" s="5" t="s">
        <v>113</v>
      </c>
      <c r="R17" s="32"/>
      <c r="S17" s="22" t="s">
        <v>29</v>
      </c>
    </row>
    <row r="18" spans="2:19">
      <c r="B18" s="27">
        <v>14</v>
      </c>
      <c r="C18" s="11" t="s">
        <v>6</v>
      </c>
      <c r="D18" s="5">
        <v>30</v>
      </c>
      <c r="E18" s="5"/>
      <c r="F18" s="5" t="s">
        <v>101</v>
      </c>
      <c r="G18" s="5"/>
      <c r="H18" s="34">
        <v>2</v>
      </c>
      <c r="I18" s="34" t="s">
        <v>124</v>
      </c>
      <c r="J18" s="36">
        <v>2</v>
      </c>
      <c r="K18" s="36" t="s">
        <v>126</v>
      </c>
      <c r="L18" s="5">
        <v>7000</v>
      </c>
      <c r="M18" s="5">
        <f t="shared" si="0"/>
        <v>8260</v>
      </c>
      <c r="N18" s="5">
        <v>7000</v>
      </c>
      <c r="O18" s="40">
        <f t="shared" si="1"/>
        <v>8260</v>
      </c>
      <c r="P18" s="5" t="s">
        <v>113</v>
      </c>
      <c r="Q18" s="5" t="s">
        <v>113</v>
      </c>
      <c r="R18" s="32"/>
      <c r="S18" s="22" t="s">
        <v>29</v>
      </c>
    </row>
    <row r="19" spans="2:19">
      <c r="B19" s="27">
        <v>15</v>
      </c>
      <c r="C19" s="11" t="s">
        <v>7</v>
      </c>
      <c r="D19" s="5">
        <v>36</v>
      </c>
      <c r="E19" s="5"/>
      <c r="F19" s="5" t="s">
        <v>101</v>
      </c>
      <c r="G19" s="5"/>
      <c r="H19" s="34">
        <v>2</v>
      </c>
      <c r="I19" s="34" t="s">
        <v>124</v>
      </c>
      <c r="J19" s="36">
        <v>2</v>
      </c>
      <c r="K19" s="36" t="s">
        <v>126</v>
      </c>
      <c r="L19" s="5">
        <v>9000</v>
      </c>
      <c r="M19" s="5">
        <f t="shared" si="0"/>
        <v>10620</v>
      </c>
      <c r="N19" s="5">
        <v>9000</v>
      </c>
      <c r="O19" s="40">
        <f t="shared" si="1"/>
        <v>10620</v>
      </c>
      <c r="P19" s="5" t="s">
        <v>113</v>
      </c>
      <c r="Q19" s="5" t="s">
        <v>113</v>
      </c>
      <c r="R19" s="32"/>
      <c r="S19" s="22" t="s">
        <v>29</v>
      </c>
    </row>
    <row r="20" spans="2:19">
      <c r="B20" s="27">
        <v>16</v>
      </c>
      <c r="C20" s="11" t="s">
        <v>8</v>
      </c>
      <c r="D20" s="5">
        <v>44</v>
      </c>
      <c r="E20" s="5"/>
      <c r="F20" s="5" t="s">
        <v>101</v>
      </c>
      <c r="G20" s="5"/>
      <c r="H20" s="34">
        <v>2</v>
      </c>
      <c r="I20" s="34" t="s">
        <v>124</v>
      </c>
      <c r="J20" s="36">
        <v>2</v>
      </c>
      <c r="K20" s="36" t="s">
        <v>125</v>
      </c>
      <c r="L20" s="5">
        <v>9000</v>
      </c>
      <c r="M20" s="5">
        <f t="shared" si="0"/>
        <v>10620</v>
      </c>
      <c r="N20" s="5">
        <v>9000</v>
      </c>
      <c r="O20" s="40">
        <f t="shared" si="1"/>
        <v>10620</v>
      </c>
      <c r="P20" s="5" t="s">
        <v>113</v>
      </c>
      <c r="Q20" s="5" t="s">
        <v>113</v>
      </c>
      <c r="R20" s="32"/>
      <c r="S20" s="22" t="s">
        <v>29</v>
      </c>
    </row>
    <row r="21" spans="2:19">
      <c r="B21" s="27">
        <v>17</v>
      </c>
      <c r="C21" s="11" t="s">
        <v>9</v>
      </c>
      <c r="D21" s="5">
        <v>24</v>
      </c>
      <c r="E21" s="5"/>
      <c r="F21" s="5" t="s">
        <v>101</v>
      </c>
      <c r="G21" s="5"/>
      <c r="H21" s="34">
        <v>2</v>
      </c>
      <c r="I21" s="34" t="s">
        <v>129</v>
      </c>
      <c r="J21" s="36">
        <v>2</v>
      </c>
      <c r="K21" s="36" t="s">
        <v>124</v>
      </c>
      <c r="L21" s="5">
        <v>6000</v>
      </c>
      <c r="M21" s="5">
        <f t="shared" si="0"/>
        <v>7080</v>
      </c>
      <c r="N21" s="5">
        <v>5000</v>
      </c>
      <c r="O21" s="40">
        <f t="shared" si="1"/>
        <v>5900</v>
      </c>
      <c r="P21" s="5" t="s">
        <v>113</v>
      </c>
      <c r="Q21" s="5" t="s">
        <v>113</v>
      </c>
      <c r="R21" s="32"/>
      <c r="S21" s="22" t="s">
        <v>29</v>
      </c>
    </row>
    <row r="22" spans="2:19">
      <c r="B22" s="27">
        <v>18</v>
      </c>
      <c r="C22" s="11" t="s">
        <v>10</v>
      </c>
      <c r="D22" s="5">
        <v>60</v>
      </c>
      <c r="E22" s="5"/>
      <c r="F22" s="5" t="s">
        <v>101</v>
      </c>
      <c r="G22" s="5"/>
      <c r="H22" s="34">
        <v>2</v>
      </c>
      <c r="I22" s="34" t="s">
        <v>126</v>
      </c>
      <c r="J22" s="36">
        <v>2</v>
      </c>
      <c r="K22" s="36" t="s">
        <v>125</v>
      </c>
      <c r="L22" s="5">
        <v>15000</v>
      </c>
      <c r="M22" s="5">
        <f t="shared" si="0"/>
        <v>17700</v>
      </c>
      <c r="N22" s="5">
        <v>15000</v>
      </c>
      <c r="O22" s="40">
        <f t="shared" si="1"/>
        <v>17700</v>
      </c>
      <c r="P22" s="5" t="s">
        <v>113</v>
      </c>
      <c r="Q22" s="5" t="s">
        <v>113</v>
      </c>
      <c r="R22" s="32" t="s">
        <v>130</v>
      </c>
      <c r="S22" s="22" t="s">
        <v>29</v>
      </c>
    </row>
    <row r="23" spans="2:19">
      <c r="B23" s="27">
        <v>19</v>
      </c>
      <c r="C23" s="11" t="s">
        <v>11</v>
      </c>
      <c r="D23" s="5">
        <v>36</v>
      </c>
      <c r="E23" s="5"/>
      <c r="F23" s="5" t="s">
        <v>101</v>
      </c>
      <c r="G23" s="5"/>
      <c r="H23" s="34">
        <v>2</v>
      </c>
      <c r="I23" s="34" t="s">
        <v>124</v>
      </c>
      <c r="J23" s="36">
        <v>2</v>
      </c>
      <c r="K23" s="36" t="s">
        <v>126</v>
      </c>
      <c r="L23" s="5">
        <v>9000</v>
      </c>
      <c r="M23" s="5">
        <f t="shared" si="0"/>
        <v>10620</v>
      </c>
      <c r="N23" s="5">
        <v>9000</v>
      </c>
      <c r="O23" s="40">
        <f t="shared" si="1"/>
        <v>10620</v>
      </c>
      <c r="P23" s="5" t="s">
        <v>113</v>
      </c>
      <c r="Q23" s="5" t="s">
        <v>113</v>
      </c>
      <c r="R23" s="32"/>
      <c r="S23" s="22" t="s">
        <v>29</v>
      </c>
    </row>
    <row r="24" spans="2:19">
      <c r="B24" s="27">
        <v>20</v>
      </c>
      <c r="C24" s="11" t="s">
        <v>12</v>
      </c>
      <c r="D24" s="5">
        <v>36</v>
      </c>
      <c r="E24" s="5"/>
      <c r="F24" s="5" t="s">
        <v>101</v>
      </c>
      <c r="G24" s="5"/>
      <c r="H24" s="34">
        <v>2</v>
      </c>
      <c r="I24" s="34" t="s">
        <v>124</v>
      </c>
      <c r="J24" s="36">
        <v>2</v>
      </c>
      <c r="K24" s="36" t="s">
        <v>126</v>
      </c>
      <c r="L24" s="5">
        <v>9000</v>
      </c>
      <c r="M24" s="5">
        <f t="shared" si="0"/>
        <v>10620</v>
      </c>
      <c r="N24" s="5">
        <v>9000</v>
      </c>
      <c r="O24" s="40">
        <f t="shared" si="1"/>
        <v>10620</v>
      </c>
      <c r="P24" s="5" t="s">
        <v>113</v>
      </c>
      <c r="Q24" s="5" t="s">
        <v>113</v>
      </c>
      <c r="R24" s="32"/>
      <c r="S24" s="22" t="s">
        <v>29</v>
      </c>
    </row>
    <row r="25" spans="2:19">
      <c r="B25" s="27">
        <v>21</v>
      </c>
      <c r="C25" s="11" t="s">
        <v>13</v>
      </c>
      <c r="D25" s="5">
        <v>35</v>
      </c>
      <c r="E25" s="5"/>
      <c r="F25" s="5" t="s">
        <v>101</v>
      </c>
      <c r="G25" s="5" t="s">
        <v>103</v>
      </c>
      <c r="H25" s="34">
        <v>2</v>
      </c>
      <c r="I25" s="34" t="s">
        <v>124</v>
      </c>
      <c r="J25" s="36">
        <v>2</v>
      </c>
      <c r="K25" s="36" t="s">
        <v>126</v>
      </c>
      <c r="L25" s="5">
        <v>7000</v>
      </c>
      <c r="M25" s="5">
        <f t="shared" si="0"/>
        <v>8260</v>
      </c>
      <c r="N25" s="5">
        <v>5000</v>
      </c>
      <c r="O25" s="40">
        <f t="shared" si="1"/>
        <v>5900</v>
      </c>
      <c r="P25" s="5" t="s">
        <v>114</v>
      </c>
      <c r="Q25" s="5" t="s">
        <v>114</v>
      </c>
      <c r="R25" s="32"/>
      <c r="S25" s="22" t="s">
        <v>29</v>
      </c>
    </row>
    <row r="26" spans="2:19">
      <c r="B26" s="27">
        <v>22</v>
      </c>
      <c r="C26" s="11" t="s">
        <v>14</v>
      </c>
      <c r="D26" s="5">
        <v>35</v>
      </c>
      <c r="E26" s="5"/>
      <c r="F26" s="5" t="s">
        <v>101</v>
      </c>
      <c r="G26" s="5" t="s">
        <v>103</v>
      </c>
      <c r="H26" s="34">
        <v>2</v>
      </c>
      <c r="I26" s="34" t="s">
        <v>124</v>
      </c>
      <c r="J26" s="36">
        <v>2</v>
      </c>
      <c r="K26" s="36" t="s">
        <v>126</v>
      </c>
      <c r="L26" s="5">
        <v>7000</v>
      </c>
      <c r="M26" s="5">
        <f t="shared" si="0"/>
        <v>8260</v>
      </c>
      <c r="N26" s="5">
        <v>5000</v>
      </c>
      <c r="O26" s="40">
        <f t="shared" si="1"/>
        <v>5900</v>
      </c>
      <c r="P26" s="5" t="s">
        <v>114</v>
      </c>
      <c r="Q26" s="5" t="s">
        <v>114</v>
      </c>
      <c r="R26" s="32"/>
      <c r="S26" s="22" t="s">
        <v>29</v>
      </c>
    </row>
    <row r="27" spans="2:19">
      <c r="B27" s="27">
        <v>23</v>
      </c>
      <c r="C27" s="11" t="s">
        <v>15</v>
      </c>
      <c r="D27" s="5">
        <v>36</v>
      </c>
      <c r="E27" s="5"/>
      <c r="F27" s="5" t="s">
        <v>101</v>
      </c>
      <c r="G27" s="5" t="s">
        <v>103</v>
      </c>
      <c r="H27" s="34">
        <v>2</v>
      </c>
      <c r="I27" s="34" t="s">
        <v>124</v>
      </c>
      <c r="J27" s="36">
        <v>2</v>
      </c>
      <c r="K27" s="36" t="s">
        <v>126</v>
      </c>
      <c r="L27" s="5">
        <v>7000</v>
      </c>
      <c r="M27" s="5">
        <f t="shared" si="0"/>
        <v>8260</v>
      </c>
      <c r="N27" s="5">
        <v>5000</v>
      </c>
      <c r="O27" s="40">
        <f t="shared" si="1"/>
        <v>5900</v>
      </c>
      <c r="P27" s="5" t="s">
        <v>114</v>
      </c>
      <c r="Q27" s="5" t="s">
        <v>114</v>
      </c>
      <c r="R27" s="32"/>
      <c r="S27" s="22" t="s">
        <v>29</v>
      </c>
    </row>
    <row r="28" spans="2:19">
      <c r="B28" s="27">
        <v>24</v>
      </c>
      <c r="C28" s="31" t="s">
        <v>109</v>
      </c>
      <c r="D28" s="5">
        <v>40</v>
      </c>
      <c r="E28" s="5"/>
      <c r="F28" s="5" t="s">
        <v>101</v>
      </c>
      <c r="G28" s="5"/>
      <c r="H28" s="34">
        <v>2</v>
      </c>
      <c r="I28" s="34" t="s">
        <v>124</v>
      </c>
      <c r="J28" s="36">
        <v>2</v>
      </c>
      <c r="K28" s="36" t="s">
        <v>125</v>
      </c>
      <c r="L28" s="5">
        <v>9000</v>
      </c>
      <c r="M28" s="5">
        <f t="shared" si="0"/>
        <v>10620</v>
      </c>
      <c r="N28" s="5">
        <v>8000</v>
      </c>
      <c r="O28" s="40">
        <f t="shared" si="1"/>
        <v>9440</v>
      </c>
      <c r="P28" s="5" t="s">
        <v>113</v>
      </c>
      <c r="Q28" s="5" t="s">
        <v>113</v>
      </c>
      <c r="R28" s="32"/>
      <c r="S28" s="22" t="s">
        <v>29</v>
      </c>
    </row>
    <row r="29" spans="2:19">
      <c r="B29" s="27">
        <v>25</v>
      </c>
      <c r="C29" s="11" t="s">
        <v>17</v>
      </c>
      <c r="D29" s="5">
        <v>18</v>
      </c>
      <c r="E29" s="5"/>
      <c r="F29" s="5" t="s">
        <v>101</v>
      </c>
      <c r="G29" s="5"/>
      <c r="H29" s="34">
        <v>2</v>
      </c>
      <c r="I29" s="34" t="s">
        <v>124</v>
      </c>
      <c r="J29" s="36">
        <v>2</v>
      </c>
      <c r="K29" s="36" t="s">
        <v>126</v>
      </c>
      <c r="L29" s="5">
        <v>4500</v>
      </c>
      <c r="M29" s="5">
        <f t="shared" si="0"/>
        <v>5310</v>
      </c>
      <c r="N29" s="5">
        <v>5000</v>
      </c>
      <c r="O29" s="40">
        <f t="shared" si="1"/>
        <v>5900</v>
      </c>
      <c r="P29" s="5" t="s">
        <v>113</v>
      </c>
      <c r="Q29" s="5" t="s">
        <v>113</v>
      </c>
      <c r="R29" s="32"/>
      <c r="S29" s="22" t="s">
        <v>29</v>
      </c>
    </row>
    <row r="30" spans="2:19">
      <c r="B30" s="27">
        <v>26</v>
      </c>
      <c r="C30" s="11" t="s">
        <v>18</v>
      </c>
      <c r="D30" s="5">
        <v>18</v>
      </c>
      <c r="E30" s="5"/>
      <c r="F30" s="5" t="s">
        <v>101</v>
      </c>
      <c r="G30" s="5"/>
      <c r="H30" s="34">
        <v>2</v>
      </c>
      <c r="I30" s="34" t="s">
        <v>124</v>
      </c>
      <c r="J30" s="36">
        <v>2</v>
      </c>
      <c r="K30" s="36" t="s">
        <v>126</v>
      </c>
      <c r="L30" s="5">
        <v>4500</v>
      </c>
      <c r="M30" s="5">
        <f t="shared" si="0"/>
        <v>5310</v>
      </c>
      <c r="N30" s="5">
        <v>5000</v>
      </c>
      <c r="O30" s="40">
        <f t="shared" si="1"/>
        <v>5900</v>
      </c>
      <c r="P30" s="5" t="s">
        <v>113</v>
      </c>
      <c r="Q30" s="5" t="s">
        <v>113</v>
      </c>
      <c r="R30" s="32"/>
      <c r="S30" s="22" t="s">
        <v>29</v>
      </c>
    </row>
    <row r="31" spans="2:19" ht="15" customHeight="1">
      <c r="B31" s="27">
        <v>27</v>
      </c>
      <c r="C31" s="11" t="s">
        <v>139</v>
      </c>
      <c r="D31" s="5">
        <v>36</v>
      </c>
      <c r="E31" s="5"/>
      <c r="F31" s="5" t="s">
        <v>101</v>
      </c>
      <c r="G31" s="5"/>
      <c r="H31" s="34">
        <v>2</v>
      </c>
      <c r="I31" s="34" t="s">
        <v>124</v>
      </c>
      <c r="J31" s="36">
        <v>2</v>
      </c>
      <c r="K31" s="36" t="s">
        <v>126</v>
      </c>
      <c r="L31" s="5">
        <v>5000</v>
      </c>
      <c r="M31" s="5">
        <f t="shared" si="0"/>
        <v>5900</v>
      </c>
      <c r="N31" s="5">
        <v>5000</v>
      </c>
      <c r="O31" s="40">
        <f t="shared" si="1"/>
        <v>5900</v>
      </c>
      <c r="P31" s="5" t="s">
        <v>113</v>
      </c>
      <c r="Q31" s="5" t="s">
        <v>113</v>
      </c>
      <c r="R31" s="32"/>
      <c r="S31" s="22" t="s">
        <v>29</v>
      </c>
    </row>
    <row r="32" spans="2:19">
      <c r="B32" s="27">
        <v>28</v>
      </c>
      <c r="C32" s="11" t="s">
        <v>20</v>
      </c>
      <c r="D32" s="5">
        <v>36</v>
      </c>
      <c r="E32" s="5"/>
      <c r="F32" s="5" t="s">
        <v>101</v>
      </c>
      <c r="G32" s="5"/>
      <c r="H32" s="34">
        <v>2</v>
      </c>
      <c r="I32" s="34" t="s">
        <v>124</v>
      </c>
      <c r="J32" s="36">
        <v>2</v>
      </c>
      <c r="K32" s="36" t="s">
        <v>126</v>
      </c>
      <c r="L32" s="5">
        <v>9000</v>
      </c>
      <c r="M32" s="5">
        <f t="shared" si="0"/>
        <v>10620</v>
      </c>
      <c r="N32" s="5">
        <v>9000</v>
      </c>
      <c r="O32" s="40">
        <f t="shared" si="1"/>
        <v>10620</v>
      </c>
      <c r="P32" s="5" t="s">
        <v>113</v>
      </c>
      <c r="Q32" s="5" t="s">
        <v>113</v>
      </c>
      <c r="R32" s="32"/>
      <c r="S32" s="22" t="s">
        <v>29</v>
      </c>
    </row>
    <row r="33" spans="2:19">
      <c r="B33" s="27">
        <v>29</v>
      </c>
      <c r="C33" s="11" t="s">
        <v>21</v>
      </c>
      <c r="D33" s="5">
        <v>48</v>
      </c>
      <c r="E33" s="5"/>
      <c r="F33" s="5" t="s">
        <v>101</v>
      </c>
      <c r="G33" s="5"/>
      <c r="H33" s="34">
        <v>2</v>
      </c>
      <c r="I33" s="34" t="s">
        <v>124</v>
      </c>
      <c r="J33" s="36">
        <v>2</v>
      </c>
      <c r="K33" s="36" t="s">
        <v>125</v>
      </c>
      <c r="L33" s="5">
        <v>9000</v>
      </c>
      <c r="M33" s="5">
        <f t="shared" si="0"/>
        <v>10620</v>
      </c>
      <c r="N33" s="5">
        <v>9000</v>
      </c>
      <c r="O33" s="40">
        <f t="shared" si="1"/>
        <v>10620</v>
      </c>
      <c r="P33" s="5" t="s">
        <v>113</v>
      </c>
      <c r="Q33" s="5" t="s">
        <v>113</v>
      </c>
      <c r="R33" s="32"/>
      <c r="S33" s="22" t="s">
        <v>29</v>
      </c>
    </row>
    <row r="34" spans="2:19">
      <c r="B34" s="27">
        <v>30</v>
      </c>
      <c r="C34" s="11" t="s">
        <v>112</v>
      </c>
      <c r="D34" s="5">
        <v>80</v>
      </c>
      <c r="E34" s="5"/>
      <c r="F34" s="5" t="s">
        <v>101</v>
      </c>
      <c r="G34" s="5" t="s">
        <v>110</v>
      </c>
      <c r="H34" s="34">
        <v>2</v>
      </c>
      <c r="I34" s="34" t="s">
        <v>125</v>
      </c>
      <c r="J34" s="36">
        <v>2</v>
      </c>
      <c r="K34" s="36" t="s">
        <v>120</v>
      </c>
      <c r="L34" s="5">
        <v>15000</v>
      </c>
      <c r="M34" s="5">
        <f t="shared" si="0"/>
        <v>17700</v>
      </c>
      <c r="N34" s="5">
        <v>15000</v>
      </c>
      <c r="O34" s="40">
        <f t="shared" si="1"/>
        <v>17700</v>
      </c>
      <c r="P34" s="5" t="s">
        <v>113</v>
      </c>
      <c r="Q34" s="5" t="s">
        <v>113</v>
      </c>
      <c r="R34" s="32" t="s">
        <v>130</v>
      </c>
      <c r="S34" s="22" t="s">
        <v>29</v>
      </c>
    </row>
    <row r="35" spans="2:19">
      <c r="B35" s="27">
        <v>31</v>
      </c>
      <c r="C35" s="11" t="s">
        <v>23</v>
      </c>
      <c r="D35" s="5">
        <v>80</v>
      </c>
      <c r="E35" s="5"/>
      <c r="F35" s="5" t="s">
        <v>101</v>
      </c>
      <c r="G35" s="5" t="s">
        <v>110</v>
      </c>
      <c r="H35" s="34">
        <v>2</v>
      </c>
      <c r="I35" s="34" t="s">
        <v>125</v>
      </c>
      <c r="J35" s="36">
        <v>2</v>
      </c>
      <c r="K35" s="36" t="s">
        <v>120</v>
      </c>
      <c r="L35" s="5">
        <v>15000</v>
      </c>
      <c r="M35" s="5">
        <f t="shared" si="0"/>
        <v>17700</v>
      </c>
      <c r="N35" s="5">
        <v>15000</v>
      </c>
      <c r="O35" s="40">
        <f t="shared" si="1"/>
        <v>17700</v>
      </c>
      <c r="P35" s="5" t="s">
        <v>113</v>
      </c>
      <c r="Q35" s="5" t="s">
        <v>113</v>
      </c>
      <c r="R35" s="32" t="s">
        <v>130</v>
      </c>
      <c r="S35" s="22" t="s">
        <v>29</v>
      </c>
    </row>
    <row r="36" spans="2:19">
      <c r="B36" s="27">
        <v>32</v>
      </c>
      <c r="C36" s="11" t="s">
        <v>24</v>
      </c>
      <c r="D36" s="5">
        <v>36</v>
      </c>
      <c r="E36" s="5"/>
      <c r="F36" s="5" t="s">
        <v>101</v>
      </c>
      <c r="G36" s="5"/>
      <c r="H36" s="34">
        <v>2</v>
      </c>
      <c r="I36" s="34" t="s">
        <v>124</v>
      </c>
      <c r="J36" s="36">
        <v>2</v>
      </c>
      <c r="K36" s="36" t="s">
        <v>126</v>
      </c>
      <c r="L36" s="5">
        <v>5000</v>
      </c>
      <c r="M36" s="5">
        <f t="shared" si="0"/>
        <v>5900</v>
      </c>
      <c r="N36" s="5">
        <v>4500</v>
      </c>
      <c r="O36" s="40">
        <f t="shared" si="1"/>
        <v>5310</v>
      </c>
      <c r="P36" s="5" t="s">
        <v>113</v>
      </c>
      <c r="Q36" s="5" t="s">
        <v>113</v>
      </c>
      <c r="R36" s="32"/>
      <c r="S36" s="22" t="s">
        <v>29</v>
      </c>
    </row>
    <row r="37" spans="2:19">
      <c r="B37" s="27">
        <v>33</v>
      </c>
      <c r="C37" s="11" t="s">
        <v>90</v>
      </c>
      <c r="D37" s="5">
        <v>88</v>
      </c>
      <c r="E37" s="5"/>
      <c r="F37" s="5" t="s">
        <v>134</v>
      </c>
      <c r="G37" s="5" t="s">
        <v>111</v>
      </c>
      <c r="H37" s="34">
        <v>2</v>
      </c>
      <c r="I37" s="34" t="s">
        <v>125</v>
      </c>
      <c r="J37" s="36">
        <v>2</v>
      </c>
      <c r="K37" s="36" t="s">
        <v>120</v>
      </c>
      <c r="L37" s="5">
        <v>15000</v>
      </c>
      <c r="M37" s="5">
        <f t="shared" si="0"/>
        <v>17700</v>
      </c>
      <c r="N37" s="5">
        <v>15000</v>
      </c>
      <c r="O37" s="40">
        <f t="shared" si="1"/>
        <v>17700</v>
      </c>
      <c r="P37" s="5" t="s">
        <v>113</v>
      </c>
      <c r="Q37" s="5" t="s">
        <v>113</v>
      </c>
      <c r="R37" s="32"/>
      <c r="S37" s="22" t="s">
        <v>29</v>
      </c>
    </row>
    <row r="38" spans="2:19">
      <c r="B38" s="27">
        <v>34</v>
      </c>
      <c r="C38" s="11" t="s">
        <v>88</v>
      </c>
      <c r="D38" s="5">
        <v>36</v>
      </c>
      <c r="E38" s="5"/>
      <c r="F38" s="5" t="s">
        <v>101</v>
      </c>
      <c r="G38" s="3"/>
      <c r="H38" s="34">
        <v>2</v>
      </c>
      <c r="I38" s="34" t="s">
        <v>124</v>
      </c>
      <c r="J38" s="36">
        <v>2</v>
      </c>
      <c r="K38" s="36" t="s">
        <v>126</v>
      </c>
      <c r="L38" s="5">
        <v>15000</v>
      </c>
      <c r="M38" s="5">
        <f t="shared" si="0"/>
        <v>17700</v>
      </c>
      <c r="N38" s="5">
        <v>10000</v>
      </c>
      <c r="O38" s="40">
        <f t="shared" si="1"/>
        <v>11800</v>
      </c>
      <c r="P38" s="5" t="s">
        <v>113</v>
      </c>
      <c r="Q38" s="5" t="s">
        <v>113</v>
      </c>
      <c r="R38" s="32"/>
      <c r="S38" s="22" t="s">
        <v>29</v>
      </c>
    </row>
    <row r="39" spans="2:19">
      <c r="B39" s="27">
        <v>35</v>
      </c>
      <c r="C39" s="11" t="s">
        <v>99</v>
      </c>
      <c r="D39" s="5">
        <v>144</v>
      </c>
      <c r="E39" s="5"/>
      <c r="F39" s="5" t="s">
        <v>101</v>
      </c>
      <c r="G39" s="5" t="s">
        <v>110</v>
      </c>
      <c r="H39" s="34">
        <v>2</v>
      </c>
      <c r="I39" s="34" t="s">
        <v>124</v>
      </c>
      <c r="J39" s="36">
        <v>2</v>
      </c>
      <c r="K39" s="36" t="s">
        <v>125</v>
      </c>
      <c r="L39" s="5">
        <v>6000</v>
      </c>
      <c r="M39" s="5">
        <f t="shared" si="0"/>
        <v>7080</v>
      </c>
      <c r="N39" s="5">
        <v>6000</v>
      </c>
      <c r="O39" s="40">
        <f t="shared" si="1"/>
        <v>7080</v>
      </c>
      <c r="P39" s="5" t="s">
        <v>115</v>
      </c>
      <c r="Q39" s="5" t="s">
        <v>115</v>
      </c>
      <c r="R39" s="32" t="s">
        <v>130</v>
      </c>
      <c r="S39" s="22" t="s">
        <v>29</v>
      </c>
    </row>
    <row r="40" spans="2:19" ht="15.75" thickBot="1">
      <c r="B40" s="28">
        <v>36</v>
      </c>
      <c r="C40" s="30" t="s">
        <v>100</v>
      </c>
      <c r="D40" s="29"/>
      <c r="E40" s="29"/>
      <c r="F40" s="25" t="s">
        <v>102</v>
      </c>
      <c r="G40" s="25" t="s">
        <v>111</v>
      </c>
      <c r="H40" s="35">
        <v>2</v>
      </c>
      <c r="I40" s="35" t="s">
        <v>119</v>
      </c>
      <c r="J40" s="37">
        <v>2</v>
      </c>
      <c r="K40" s="37" t="s">
        <v>117</v>
      </c>
      <c r="L40" s="25">
        <v>60000</v>
      </c>
      <c r="M40" s="25">
        <f t="shared" si="0"/>
        <v>70800</v>
      </c>
      <c r="N40" s="25">
        <v>55000</v>
      </c>
      <c r="O40" s="25">
        <f t="shared" si="0"/>
        <v>64900</v>
      </c>
      <c r="P40" s="25" t="s">
        <v>116</v>
      </c>
      <c r="Q40" s="25" t="s">
        <v>116</v>
      </c>
      <c r="R40" s="33"/>
      <c r="S40" s="26" t="s">
        <v>28</v>
      </c>
    </row>
  </sheetData>
  <mergeCells count="1">
    <mergeCell ref="C1:R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31"/>
  <sheetViews>
    <sheetView topLeftCell="A10" workbookViewId="0">
      <selection activeCell="H18" sqref="H18"/>
    </sheetView>
  </sheetViews>
  <sheetFormatPr defaultRowHeight="15"/>
  <cols>
    <col min="1" max="1" width="1.140625" customWidth="1"/>
    <col min="2" max="2" width="7.7109375" style="6" customWidth="1"/>
    <col min="3" max="3" width="47" style="13" customWidth="1"/>
    <col min="4" max="4" width="11" style="6" customWidth="1"/>
    <col min="5" max="5" width="17.140625" style="6" customWidth="1"/>
  </cols>
  <sheetData>
    <row r="1" spans="2:5">
      <c r="B1" s="56" t="s">
        <v>82</v>
      </c>
      <c r="C1" s="57"/>
      <c r="D1" s="57"/>
      <c r="E1" s="58"/>
    </row>
    <row r="2" spans="2:5">
      <c r="B2" s="59"/>
      <c r="C2" s="60"/>
      <c r="D2" s="60"/>
      <c r="E2" s="61"/>
    </row>
    <row r="3" spans="2:5" ht="15.75" thickBot="1">
      <c r="B3" s="62"/>
      <c r="C3" s="63"/>
      <c r="D3" s="63"/>
      <c r="E3" s="64"/>
    </row>
    <row r="4" spans="2:5" ht="15.75" thickBot="1"/>
    <row r="5" spans="2:5" ht="60">
      <c r="B5" s="17" t="s">
        <v>79</v>
      </c>
      <c r="C5" s="18" t="s">
        <v>80</v>
      </c>
      <c r="D5" s="19" t="s">
        <v>81</v>
      </c>
      <c r="E5" s="20" t="s">
        <v>27</v>
      </c>
    </row>
    <row r="6" spans="2:5" ht="20.100000000000001" customHeight="1">
      <c r="B6" s="21">
        <v>1</v>
      </c>
      <c r="C6" s="11" t="s">
        <v>68</v>
      </c>
      <c r="D6" s="5">
        <v>288</v>
      </c>
      <c r="E6" s="22" t="s">
        <v>28</v>
      </c>
    </row>
    <row r="7" spans="2:5" ht="20.100000000000001" customHeight="1">
      <c r="B7" s="21">
        <v>2</v>
      </c>
      <c r="C7" s="11" t="s">
        <v>0</v>
      </c>
      <c r="D7" s="5">
        <v>288</v>
      </c>
      <c r="E7" s="22" t="s">
        <v>28</v>
      </c>
    </row>
    <row r="8" spans="2:5" ht="20.100000000000001" customHeight="1">
      <c r="B8" s="21">
        <v>3</v>
      </c>
      <c r="C8" s="11" t="s">
        <v>1</v>
      </c>
      <c r="D8" s="5">
        <v>110</v>
      </c>
      <c r="E8" s="22" t="s">
        <v>28</v>
      </c>
    </row>
    <row r="9" spans="2:5" ht="20.100000000000001" customHeight="1">
      <c r="B9" s="21">
        <v>4</v>
      </c>
      <c r="C9" s="11" t="s">
        <v>2</v>
      </c>
      <c r="D9" s="5">
        <v>180</v>
      </c>
      <c r="E9" s="22" t="s">
        <v>28</v>
      </c>
    </row>
    <row r="10" spans="2:5" ht="20.100000000000001" customHeight="1">
      <c r="B10" s="21">
        <v>5</v>
      </c>
      <c r="C10" s="11" t="s">
        <v>3</v>
      </c>
      <c r="D10" s="5">
        <v>492</v>
      </c>
      <c r="E10" s="22" t="s">
        <v>28</v>
      </c>
    </row>
    <row r="11" spans="2:5" ht="20.100000000000001" customHeight="1">
      <c r="B11" s="21">
        <v>6</v>
      </c>
      <c r="C11" s="11" t="s">
        <v>4</v>
      </c>
      <c r="D11" s="5">
        <v>524</v>
      </c>
      <c r="E11" s="22" t="s">
        <v>28</v>
      </c>
    </row>
    <row r="12" spans="2:5" ht="20.100000000000001" customHeight="1">
      <c r="B12" s="21">
        <v>7</v>
      </c>
      <c r="C12" s="12" t="s">
        <v>5</v>
      </c>
      <c r="D12" s="5">
        <v>48</v>
      </c>
      <c r="E12" s="22" t="s">
        <v>29</v>
      </c>
    </row>
    <row r="13" spans="2:5" ht="20.100000000000001" customHeight="1">
      <c r="B13" s="21">
        <v>8</v>
      </c>
      <c r="C13" s="12" t="s">
        <v>6</v>
      </c>
      <c r="D13" s="5">
        <v>30</v>
      </c>
      <c r="E13" s="22" t="s">
        <v>29</v>
      </c>
    </row>
    <row r="14" spans="2:5" ht="20.100000000000001" customHeight="1">
      <c r="B14" s="21">
        <v>9</v>
      </c>
      <c r="C14" s="12" t="s">
        <v>7</v>
      </c>
      <c r="D14" s="5">
        <v>36</v>
      </c>
      <c r="E14" s="22" t="s">
        <v>29</v>
      </c>
    </row>
    <row r="15" spans="2:5" ht="20.100000000000001" customHeight="1">
      <c r="B15" s="21">
        <v>10</v>
      </c>
      <c r="C15" s="12" t="s">
        <v>8</v>
      </c>
      <c r="D15" s="5">
        <v>44</v>
      </c>
      <c r="E15" s="22" t="s">
        <v>29</v>
      </c>
    </row>
    <row r="16" spans="2:5" ht="20.100000000000001" customHeight="1">
      <c r="B16" s="21">
        <v>11</v>
      </c>
      <c r="C16" s="12" t="s">
        <v>9</v>
      </c>
      <c r="D16" s="5">
        <v>24</v>
      </c>
      <c r="E16" s="22" t="s">
        <v>29</v>
      </c>
    </row>
    <row r="17" spans="2:5" ht="20.100000000000001" customHeight="1">
      <c r="B17" s="21">
        <v>12</v>
      </c>
      <c r="C17" s="12" t="s">
        <v>10</v>
      </c>
      <c r="D17" s="5">
        <v>60</v>
      </c>
      <c r="E17" s="22" t="s">
        <v>29</v>
      </c>
    </row>
    <row r="18" spans="2:5" ht="20.100000000000001" customHeight="1">
      <c r="B18" s="21">
        <v>13</v>
      </c>
      <c r="C18" s="12" t="s">
        <v>11</v>
      </c>
      <c r="D18" s="5">
        <v>36</v>
      </c>
      <c r="E18" s="22" t="s">
        <v>29</v>
      </c>
    </row>
    <row r="19" spans="2:5" ht="20.100000000000001" customHeight="1">
      <c r="B19" s="21">
        <v>14</v>
      </c>
      <c r="C19" s="12" t="s">
        <v>12</v>
      </c>
      <c r="D19" s="5">
        <v>36</v>
      </c>
      <c r="E19" s="22" t="s">
        <v>29</v>
      </c>
    </row>
    <row r="20" spans="2:5" ht="20.100000000000001" customHeight="1">
      <c r="B20" s="21">
        <v>15</v>
      </c>
      <c r="C20" s="12" t="s">
        <v>13</v>
      </c>
      <c r="D20" s="5">
        <v>35</v>
      </c>
      <c r="E20" s="22" t="s">
        <v>29</v>
      </c>
    </row>
    <row r="21" spans="2:5" ht="20.100000000000001" customHeight="1">
      <c r="B21" s="21">
        <v>16</v>
      </c>
      <c r="C21" s="12" t="s">
        <v>14</v>
      </c>
      <c r="D21" s="5">
        <v>35</v>
      </c>
      <c r="E21" s="22" t="s">
        <v>29</v>
      </c>
    </row>
    <row r="22" spans="2:5" ht="20.100000000000001" customHeight="1">
      <c r="B22" s="21">
        <v>17</v>
      </c>
      <c r="C22" s="12" t="s">
        <v>15</v>
      </c>
      <c r="D22" s="5">
        <v>36</v>
      </c>
      <c r="E22" s="22" t="s">
        <v>29</v>
      </c>
    </row>
    <row r="23" spans="2:5" ht="20.100000000000001" customHeight="1">
      <c r="B23" s="21">
        <v>18</v>
      </c>
      <c r="C23" s="12" t="s">
        <v>16</v>
      </c>
      <c r="D23" s="5">
        <v>40</v>
      </c>
      <c r="E23" s="22" t="s">
        <v>29</v>
      </c>
    </row>
    <row r="24" spans="2:5" ht="20.100000000000001" customHeight="1">
      <c r="B24" s="21">
        <v>19</v>
      </c>
      <c r="C24" s="12" t="s">
        <v>17</v>
      </c>
      <c r="D24" s="5">
        <v>18</v>
      </c>
      <c r="E24" s="22" t="s">
        <v>29</v>
      </c>
    </row>
    <row r="25" spans="2:5" ht="20.100000000000001" customHeight="1">
      <c r="B25" s="21">
        <v>20</v>
      </c>
      <c r="C25" s="12" t="s">
        <v>18</v>
      </c>
      <c r="D25" s="5">
        <v>18</v>
      </c>
      <c r="E25" s="22" t="s">
        <v>29</v>
      </c>
    </row>
    <row r="26" spans="2:5" ht="20.100000000000001" customHeight="1">
      <c r="B26" s="21">
        <v>21</v>
      </c>
      <c r="C26" s="12" t="s">
        <v>19</v>
      </c>
      <c r="D26" s="5">
        <v>36</v>
      </c>
      <c r="E26" s="22" t="s">
        <v>29</v>
      </c>
    </row>
    <row r="27" spans="2:5" ht="20.100000000000001" customHeight="1">
      <c r="B27" s="21">
        <v>22</v>
      </c>
      <c r="C27" s="12" t="s">
        <v>20</v>
      </c>
      <c r="D27" s="5">
        <v>36</v>
      </c>
      <c r="E27" s="22" t="s">
        <v>29</v>
      </c>
    </row>
    <row r="28" spans="2:5" ht="20.100000000000001" customHeight="1">
      <c r="B28" s="21">
        <v>23</v>
      </c>
      <c r="C28" s="12" t="s">
        <v>21</v>
      </c>
      <c r="D28" s="5">
        <v>48</v>
      </c>
      <c r="E28" s="22" t="s">
        <v>29</v>
      </c>
    </row>
    <row r="29" spans="2:5" ht="20.100000000000001" customHeight="1">
      <c r="B29" s="21">
        <v>24</v>
      </c>
      <c r="C29" s="12" t="s">
        <v>75</v>
      </c>
      <c r="D29" s="5">
        <v>80</v>
      </c>
      <c r="E29" s="22" t="s">
        <v>29</v>
      </c>
    </row>
    <row r="30" spans="2:5" ht="20.100000000000001" customHeight="1">
      <c r="B30" s="21">
        <v>25</v>
      </c>
      <c r="C30" s="12" t="s">
        <v>23</v>
      </c>
      <c r="D30" s="5">
        <v>80</v>
      </c>
      <c r="E30" s="22" t="s">
        <v>29</v>
      </c>
    </row>
    <row r="31" spans="2:5" ht="20.100000000000001" customHeight="1" thickBot="1">
      <c r="B31" s="23">
        <v>26</v>
      </c>
      <c r="C31" s="24" t="s">
        <v>24</v>
      </c>
      <c r="D31" s="25">
        <v>36</v>
      </c>
      <c r="E31" s="26" t="s">
        <v>29</v>
      </c>
    </row>
  </sheetData>
  <mergeCells count="1">
    <mergeCell ref="B1:E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Complete_List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dc:creator>
  <cp:lastModifiedBy>admin</cp:lastModifiedBy>
  <cp:lastPrinted>2025-09-04T11:43:24Z</cp:lastPrinted>
  <dcterms:created xsi:type="dcterms:W3CDTF">2023-08-29T09:43:06Z</dcterms:created>
  <dcterms:modified xsi:type="dcterms:W3CDTF">2026-06-03T07:40:13Z</dcterms:modified>
</cp:coreProperties>
</file>